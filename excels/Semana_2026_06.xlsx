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onta\Downloads\"/>
    </mc:Choice>
  </mc:AlternateContent>
  <xr:revisionPtr revIDLastSave="0" documentId="13_ncr:1_{99468E92-EE43-437C-9E81-60381ADAEA61}" xr6:coauthVersionLast="47" xr6:coauthVersionMax="47" xr10:uidLastSave="{00000000-0000-0000-0000-000000000000}"/>
  <bookViews>
    <workbookView xWindow="-120" yWindow="-120" windowWidth="20730" windowHeight="11760" activeTab="2" xr2:uid="{00000000-000D-0000-FFFF-FFFF00000000}"/>
  </bookViews>
  <sheets>
    <sheet name="Villas" sheetId="1" r:id="rId1"/>
    <sheet name="Pina" sheetId="2" r:id="rId2"/>
    <sheet name="Villas In" sheetId="3" r:id="rId3"/>
    <sheet name="Pina I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A3" i="2"/>
  <c r="A4" i="2"/>
  <c r="A5" i="2"/>
  <c r="A6" i="2"/>
  <c r="A7" i="2"/>
  <c r="A8" i="2"/>
  <c r="A9" i="2"/>
  <c r="A10" i="2"/>
  <c r="A11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12" i="2"/>
</calcChain>
</file>

<file path=xl/sharedStrings.xml><?xml version="1.0" encoding="utf-8"?>
<sst xmlns="http://schemas.openxmlformats.org/spreadsheetml/2006/main" count="438" uniqueCount="224">
  <si>
    <t>Fecha</t>
  </si>
  <si>
    <t>Categoria</t>
  </si>
  <si>
    <t>Concepto</t>
  </si>
  <si>
    <t>Servicios</t>
  </si>
  <si>
    <t>Mantenimiento</t>
  </si>
  <si>
    <t>Colones</t>
  </si>
  <si>
    <t>Dolares</t>
  </si>
  <si>
    <t>Mano de Obra</t>
  </si>
  <si>
    <t>Servicios Públicos</t>
  </si>
  <si>
    <t>Combustible</t>
  </si>
  <si>
    <t>Planilla Peones Finca</t>
  </si>
  <si>
    <t>Pago Capataz</t>
  </si>
  <si>
    <t>Insumos</t>
  </si>
  <si>
    <t>Compra Fertilizante Nitrógeno</t>
  </si>
  <si>
    <t>Herbicidas Lote B</t>
  </si>
  <si>
    <t>Transporte</t>
  </si>
  <si>
    <t>Flete de Fruta a Planta</t>
  </si>
  <si>
    <t>Flete Interno</t>
  </si>
  <si>
    <t>Reparación Tractor</t>
  </si>
  <si>
    <t>Caja Chica</t>
  </si>
  <si>
    <t>Viáticos Chofer</t>
  </si>
  <si>
    <t>Internet Oficinas</t>
  </si>
  <si>
    <t>Mano Obra Finca</t>
  </si>
  <si>
    <t>Planillas y Cargas Sociales</t>
  </si>
  <si>
    <t>Costos de Cartón - Etiquetas</t>
  </si>
  <si>
    <t>Insumos Agrícolas $</t>
  </si>
  <si>
    <t>Tramites de Exportaciones $</t>
  </si>
  <si>
    <t>Proveedores Crédito $</t>
  </si>
  <si>
    <t>Proveedores Crédito ¢</t>
  </si>
  <si>
    <t>Mano Obra Terceros (Contratista)</t>
  </si>
  <si>
    <t>Servicios Gerencia</t>
  </si>
  <si>
    <t>Vacaciones y Liquidación</t>
  </si>
  <si>
    <t>Ret. CCSS Empleado</t>
  </si>
  <si>
    <t>CCSS</t>
  </si>
  <si>
    <t>Aguinaldos</t>
  </si>
  <si>
    <t>Liquidaciones de personal</t>
  </si>
  <si>
    <t>Maquila</t>
  </si>
  <si>
    <t>Pagos Municipales</t>
  </si>
  <si>
    <t>Canon Pozos</t>
  </si>
  <si>
    <t xml:space="preserve">Pensión </t>
  </si>
  <si>
    <t>Transporte de Fruta ¢</t>
  </si>
  <si>
    <t>Transporte de Fruta $ (Villas)</t>
  </si>
  <si>
    <t xml:space="preserve">Alquiler </t>
  </si>
  <si>
    <t>Taller Materiales e Insumos</t>
  </si>
  <si>
    <t>Gastos Indirectos ¢</t>
  </si>
  <si>
    <t>Gastos Indirectos $</t>
  </si>
  <si>
    <t>Viabilidades Ambientales</t>
  </si>
  <si>
    <t>Operación ¢</t>
  </si>
  <si>
    <t>Operación $</t>
  </si>
  <si>
    <t>INS</t>
  </si>
  <si>
    <t>Compra Fruta</t>
  </si>
  <si>
    <t>Banco Pichincha</t>
  </si>
  <si>
    <t>Gastos Indirectos Julesyor</t>
  </si>
  <si>
    <t>Tramites de Exportaciones ¢</t>
  </si>
  <si>
    <t>Trasportes Alquilados $</t>
  </si>
  <si>
    <t>Planilla  Guatuso</t>
  </si>
  <si>
    <t xml:space="preserve">Planilla  Guatuso EMPACADORA AGROEXPORTADORA </t>
  </si>
  <si>
    <t>Planilla  Guatuso EFECTIVO</t>
  </si>
  <si>
    <t>MO Contratista Eddy Antonio Maradiaga Rivera</t>
  </si>
  <si>
    <t>MO Contratista Erick Pineda (Lisbania Moreno Moran)</t>
  </si>
  <si>
    <t xml:space="preserve">MO Contratista Guadis Antonio Peña Balladares </t>
  </si>
  <si>
    <t xml:space="preserve">PAGO SALARIOS VAQUEROS </t>
  </si>
  <si>
    <t>Planilla  Servicios Afines / QUINCENAL</t>
  </si>
  <si>
    <t>Planilla  Cofrut / QUINCENAL</t>
  </si>
  <si>
    <t>Planilla  Julesyor / QUINCENAL   $0 TC500  ¢0</t>
  </si>
  <si>
    <t>GUSTAVO ZAMORA MATAMOROS</t>
  </si>
  <si>
    <t>GUSTAVO ZAMORA ALVARADO</t>
  </si>
  <si>
    <t>MANUEL SANCHEZ SALARIOS</t>
  </si>
  <si>
    <t>LIQUIDACION PERSONAL</t>
  </si>
  <si>
    <t>Pensiones - Embargos Salariales</t>
  </si>
  <si>
    <t>CCSS EXPORTACIONES GUATUSO</t>
  </si>
  <si>
    <t>CCSS COFRUT</t>
  </si>
  <si>
    <t>CCSS AFINES</t>
  </si>
  <si>
    <t>Caja Chica - Depositar MIRIAM RIOS SEQUEIRA</t>
  </si>
  <si>
    <t>Caja Chica - Depositar PABLO MENDEZ CAMPOS</t>
  </si>
  <si>
    <t>AGUINALDOS</t>
  </si>
  <si>
    <t xml:space="preserve">SALARIOS GERENCIALES </t>
  </si>
  <si>
    <t>NICOVERDE S.A.</t>
  </si>
  <si>
    <t>FERTINYC S.A.</t>
  </si>
  <si>
    <t>Municipalidad LOS CHILES / BIENES INMUEBLES  STCR CR</t>
  </si>
  <si>
    <t xml:space="preserve">Municipalidad Upala - Bienes inmuebles - </t>
  </si>
  <si>
    <t>IMPUESTOS PERSONAS JURIDICAS agroexp 277916/cof 233375/afin 116687</t>
  </si>
  <si>
    <t xml:space="preserve">SERVICIOS ELECTRICOS </t>
  </si>
  <si>
    <t>SERVICIOS AGUA</t>
  </si>
  <si>
    <t>ELECTRICIDAD TALLER, TALLER REB. AGROMONTE, LABORATORIO, OFICINA LA GYS</t>
  </si>
  <si>
    <t>KUKAN CLOUD INTERNET GUATUSO</t>
  </si>
  <si>
    <t>PATENTE COFRUT</t>
  </si>
  <si>
    <t>INTERNET OFICINA 410023</t>
  </si>
  <si>
    <t xml:space="preserve">Canon Trimestral Pozos </t>
  </si>
  <si>
    <t>FACTURAS DE TRANSPORTE DE VILLAS FACT</t>
  </si>
  <si>
    <t>Maximo Barrios Alquiler</t>
  </si>
  <si>
    <t xml:space="preserve">EMPAQUES SANTA ANA </t>
  </si>
  <si>
    <t>EXPORTACIONES NORTEÑAS</t>
  </si>
  <si>
    <t>SMURFIT KAPPA</t>
  </si>
  <si>
    <t>ROYAL PRINTING &amp; SONS S.A (ETIQUETAS)</t>
  </si>
  <si>
    <t>PAGO TARJETA VIAJE GZM BCR</t>
  </si>
  <si>
    <t>INVERSIONES PIONO SA</t>
  </si>
  <si>
    <t>HAZEL ROJAS AGUILAR FACT</t>
  </si>
  <si>
    <t>QUESADA SANCHO YEUDY</t>
  </si>
  <si>
    <t>PAGO TEC</t>
  </si>
  <si>
    <t>OSWALDO VALLADARES CABAJAL EXAMENES FIQUICOS PARA PERSONAL</t>
  </si>
  <si>
    <t>ANDREY MURILLO CASTRO PLANOS FINCA SOLICITA DON GUSTAVO</t>
  </si>
  <si>
    <t xml:space="preserve">HAZEL ROJAS AGUILAR FACT </t>
  </si>
  <si>
    <t>LABORATORIO SAN ERASMO EXAMENES ANUALES CERTIFICACIONES</t>
  </si>
  <si>
    <t>ALEXIS ORDONES SUAZO</t>
  </si>
  <si>
    <t>PAGAR PLANES PROVEEDURIA-MERCADEO</t>
  </si>
  <si>
    <t xml:space="preserve">LABOR LAW CORP S.A. </t>
  </si>
  <si>
    <t>PROCOMER (CANON MENSUAL)</t>
  </si>
  <si>
    <t>GELDSTUCK</t>
  </si>
  <si>
    <t>STCR COSTA RICA TRUST &amp; ESCROW</t>
  </si>
  <si>
    <t>REINTEGRO GUSTAVO ZAMORA ALVARADO</t>
  </si>
  <si>
    <t>MARLON MARIN CAMBRONERO</t>
  </si>
  <si>
    <t>ASOCIACION CAMARA PIÑEROS CR</t>
  </si>
  <si>
    <t>TOMAS CORELLA</t>
  </si>
  <si>
    <t>ECO INTEGRAL CONSULTORES</t>
  </si>
  <si>
    <t>GEOCONSULTORIA AMBIENTAL AG S.A. REGENCIA CONCESION 1</t>
  </si>
  <si>
    <t>SG SOLUTIONS</t>
  </si>
  <si>
    <t>ABOGADA FRANCESA CERTIFICADO TIPO PERSONERIA DE KEELING</t>
  </si>
  <si>
    <t>TSF SOFTWARE DISEÑOS INTELIGENTES S.A.</t>
  </si>
  <si>
    <t>REPUESTOS EL CAMIONERO RECASA S.A.</t>
  </si>
  <si>
    <t>COMERCIALIZADORA VARO</t>
  </si>
  <si>
    <t>MERCADO DE MATERIALES EL TANQUE</t>
  </si>
  <si>
    <t>MAFISA</t>
  </si>
  <si>
    <t>CLINICA SAN ERASMO</t>
  </si>
  <si>
    <t>ADRIAN SALAS JIMENEZ</t>
  </si>
  <si>
    <t>BLOQUERA LA FORTUNA</t>
  </si>
  <si>
    <t>EL COLONO AGROPECUARIO</t>
  </si>
  <si>
    <t>FERRETERIA INDUSUTRIAL LA FLORIDA S.A.</t>
  </si>
  <si>
    <t>GRUPO LTD DE COSTA RICA S.A.</t>
  </si>
  <si>
    <t>MEGADIESELS.A.</t>
  </si>
  <si>
    <t>TECH SUPPORT</t>
  </si>
  <si>
    <t>KUKAN CLOUD</t>
  </si>
  <si>
    <t xml:space="preserve">FITOSANITARIO </t>
  </si>
  <si>
    <t>AGRICOLA AGRIAL</t>
  </si>
  <si>
    <t>COSTA TRI</t>
  </si>
  <si>
    <t xml:space="preserve">AMVAC DE COSTA RICA </t>
  </si>
  <si>
    <t>RAINBOW CROPSCENCES SA</t>
  </si>
  <si>
    <t>MATRA</t>
  </si>
  <si>
    <t>DUWEST CAFESA SA</t>
  </si>
  <si>
    <t>EL COLONO ZONA NORTE S.A.</t>
  </si>
  <si>
    <t>PICO Y LIASA S.A. (GUATUSO)</t>
  </si>
  <si>
    <t>DELAGRO MESETA S.A.</t>
  </si>
  <si>
    <t>FORAGRO COSTA RICA</t>
  </si>
  <si>
    <t>AGROQUIMICA RIMAC S.A.</t>
  </si>
  <si>
    <t xml:space="preserve">AGROTRUAL COSTA RICA S.A. </t>
  </si>
  <si>
    <t>DISTRUIDORA AGRO COMERCIAL S.A.</t>
  </si>
  <si>
    <t>PRESTAMO BCR</t>
  </si>
  <si>
    <t xml:space="preserve">OPERACIÓN BAC (NIVELACION) </t>
  </si>
  <si>
    <t>PRESTAMO JULESYOR</t>
  </si>
  <si>
    <t>LEASING 2 PICK UP CAFSA SE DEPOSITA A DON GUSTAVO</t>
  </si>
  <si>
    <t xml:space="preserve">PAGO CASOS JUDICIALES </t>
  </si>
  <si>
    <t>PAGO POLIZAS INS</t>
  </si>
  <si>
    <t>BANCO PICHINCHA</t>
  </si>
  <si>
    <t>LEGAL BUSINESS ADVISERS</t>
  </si>
  <si>
    <t xml:space="preserve">PAGO EN EUROS </t>
  </si>
  <si>
    <t>SEA INTERNACIONAL</t>
  </si>
  <si>
    <t>MAERKS</t>
  </si>
  <si>
    <t>APM</t>
  </si>
  <si>
    <t>EUROPARTNERS COSTA RICA SA</t>
  </si>
  <si>
    <t>AGENCIA MARITIMA DE COSTA RICA SA</t>
  </si>
  <si>
    <t>SERVICIO FITOSANITARIO DEL ESTADO</t>
  </si>
  <si>
    <t>GS1 MEMBRESIA ANUAL CODIGO FACTURAS EXPOR</t>
  </si>
  <si>
    <t>TRANSPORTES MERCURY</t>
  </si>
  <si>
    <t>TRANSPORTES ROJAS HERRERA</t>
  </si>
  <si>
    <t>BANCOS</t>
  </si>
  <si>
    <t>COFRUT $ BAC</t>
  </si>
  <si>
    <t>COFRUT BCT</t>
  </si>
  <si>
    <t>COFRUT   $ BCR</t>
  </si>
  <si>
    <t>COFRUT ¢ BCR</t>
  </si>
  <si>
    <t>AGROEXPORTADORA BCR</t>
  </si>
  <si>
    <t>GUATUSO BN</t>
  </si>
  <si>
    <t>GUATUSO BCR</t>
  </si>
  <si>
    <t>JULESYOR   $ BCT</t>
  </si>
  <si>
    <t>SERVICIOS AFINES BCR</t>
  </si>
  <si>
    <t>GUATUSO $ BCR</t>
  </si>
  <si>
    <t>Colones_Ejecutados</t>
  </si>
  <si>
    <t>Dolares_Ejecutados</t>
  </si>
  <si>
    <t>PAGO POLIZA SEGURO PLANTACION</t>
  </si>
  <si>
    <t>EARTHCROP S.A OC 8433 (COMPRA DE MIRAGE )</t>
  </si>
  <si>
    <t>ENLACE AGROPECUARIO OC 8434 (COMPRA DE TECNOSILIX)</t>
  </si>
  <si>
    <t>UPL COSTA RICA S.A OC 8438 (COMPRA DE BELTANOL)</t>
  </si>
  <si>
    <t>David Salazar Serrano OC 8415 (COMORA DE FILTRO ACTIVO 03-003)</t>
  </si>
  <si>
    <t>3-101809221 OC 8421 (COMPRA DE ARRANCADOR ACTIVO 00-025)</t>
  </si>
  <si>
    <t>David Salazar Serrano OC 8440 (COMPRA DE ELECTROVALVULA ACTIVO 03-001)</t>
  </si>
  <si>
    <t>ECONOVA OC 8457 (COMPRA DE MATRICES PARA EL LABORATORIO)</t>
  </si>
  <si>
    <t>David Salazar Serrano OC 8461 (COMPRA DE SELLOS, ROLL Y MOTOR HIDRAULICO ACTIVO 03-003)</t>
  </si>
  <si>
    <t>ABONOS DEL PACIFICO S.A OC 8462 (COMPRA DE UREA, CALCIO, AMONIO, MAGNESIO)</t>
  </si>
  <si>
    <t>BIOCAMPO OC 8464 (COMPRA DE SILWET APLICACIONES SEMANA 07)</t>
  </si>
  <si>
    <t>ENLACE AGROPECUARIO OC 8469 (COMPRA DE PROCTESOL SOLAR SEMANA 07)</t>
  </si>
  <si>
    <t>UPL COSTA RICA S.A OC 8472 (COMPEA DE BELTANOL APLICACIONES SEMANA 07)</t>
  </si>
  <si>
    <t>YARA COSTA RICA S.R.L OC 8473 (COMPRA DE AZUTECK, COMPLEX Y WHITE BALANCE)</t>
  </si>
  <si>
    <t>ChemTica Internacional S.A OC 8494 (COMPRA DE FEROMONAS)</t>
  </si>
  <si>
    <t>KEVIN TIJERINO ARAGON OC 8369 (SERVICIO DE MANTENIMIENTO Y REPARACION DE AC LABORATORIOY CASA)</t>
  </si>
  <si>
    <t>DIXIE ARLEY JIMENEZ OC 8142 (COMPRA DE ROLL ACTIVO 07-006)</t>
  </si>
  <si>
    <t>Alquimia Industrial S,A OC 8449 (COMPRA DE LIMPIEZA PARA LABORATORIO Y COCINA)</t>
  </si>
  <si>
    <t>GRUPO WEFEL OC 8122 (COMPRA DE REPUESTOS ACTIVO 00-019)</t>
  </si>
  <si>
    <t>BATERIAS LA BODEGUITA OC 8453 (COMPRA DE BATERIA ACTIVO 00-019,00-021 Y 00-041)</t>
  </si>
  <si>
    <t>GRUPO WEFEL OC 8454 (COMPRA DE REPUESTOS ACTIVO 00-018)</t>
  </si>
  <si>
    <t>LUIS CARLOS CASTILLO CASTILLO OC 8459 (COMPRA DE MECATE PARA SEMILLA Y SIEMBRA)</t>
  </si>
  <si>
    <t>CENTRAL DE BOLSAS PLASTICAS OC 8460 (COMPRA DE BOLSAS PARA EL LABORATORIO)</t>
  </si>
  <si>
    <t>Green Go S,A OC 8476 (COMPRA DE SET DE EMPAQUES CARGADOR MILITAR )</t>
  </si>
  <si>
    <t>GRUPO WEFEL OC 8480 (COMPRA DE FILTRO PARA MASEY FERGUSON)</t>
  </si>
  <si>
    <t>Cristian Arroyo Zuñiga OC 8481 (COMPRA DE MANGAS ARMI)</t>
  </si>
  <si>
    <t>GRUPO WEFEL OC 8484 (COMPRA DE ACOPLES PARA TRACTORES)</t>
  </si>
  <si>
    <t>CENTRAL DE BOLSAS PLASTICAS OC 8487 (COMPRA DE BOLSA NEGRA PARA CONTROL DE CABEZA ROJA)</t>
  </si>
  <si>
    <t>GASOLINERA KATIRA S.A. OC 8489 (COMPRA DE GASOLINA BODEGA)</t>
  </si>
  <si>
    <t>Liga Agrícola Industrial de la Caña de Azúcar OC 8490 (COMPRA DE MIEL )</t>
  </si>
  <si>
    <t>LA CASA DE LOS ROLES S.A. OC 8491 (COMPRA DE ROLES Y RETENEDORES CARRETAS)</t>
  </si>
  <si>
    <t>Llantas Importadas Llisa S,A OC 8492 (COMPRA DE LLANTAS Y NEUMATICOS 12,5L15 CARRETAS)</t>
  </si>
  <si>
    <t>LLANTAS DEL PACIFICO SAN CARLOS S.A OC 8493 (COMPRA DE NEUMATICOS PARA LA BODEGA )</t>
  </si>
  <si>
    <t>Alquimia Industrial S,A OC 8496 (COMPRA DE TOALLS, DTERGENTE PAPEL Y ESCOBA PARA TALLER)</t>
  </si>
  <si>
    <t>Alquimia Industrial S,A OC 8495 (COMPRA DE PALAS Y ESCOBA BODEGA INSUMOS)</t>
  </si>
  <si>
    <t>Servicios Electrónicos Azocar Ltda. OC 8497 (COMPRA DE ROMANA PARA BODEGA)</t>
  </si>
  <si>
    <t>Tecnología Extrema San Carlos Limitada OC 8498 (COMPRA DE 2 COMPUTADORAS PARA USO PREPARACION Y SEMILLA YS IEMBRA)</t>
  </si>
  <si>
    <t>Cliente</t>
  </si>
  <si>
    <t>Proyectado</t>
  </si>
  <si>
    <t>Real</t>
  </si>
  <si>
    <t>Deposito</t>
  </si>
  <si>
    <t>Banco</t>
  </si>
  <si>
    <t>Mayas</t>
  </si>
  <si>
    <t>BCT</t>
  </si>
  <si>
    <t>Pura Vida</t>
  </si>
  <si>
    <t>BCR</t>
  </si>
  <si>
    <t>Arjona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</si>
</sst>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 wrapText="1" indent="1" readingOrder="1"/>
    </xf>
    <xf numFmtId="14" fontId="1" fillId="0" borderId="0" xfId="0" applyNumberFormat="1" applyFont="1" applyAlignment="1">
      <alignment horizontal="left" vertical="center" wrapText="1" indent="1" readingOrder="1"/>
    </xf>
    <xf numFmtId="0" fontId="1" fillId="0" borderId="0" xfId="0" applyFont="1" applyAlignment="1">
      <alignment horizontal="left" vertical="center" wrapText="1" indent="1" readingOrder="1"/>
    </xf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"/>
  <sheetViews>
    <sheetView workbookViewId="0">
      <selection activeCell="D1" sqref="D1:E1048576"/>
    </sheetView>
  </sheetViews>
  <sheetFormatPr baseColWidth="10" defaultColWidth="24.42578125" defaultRowHeight="12.75" x14ac:dyDescent="0.2"/>
  <cols>
    <col min="1" max="1" width="10.85546875" bestFit="1" customWidth="1"/>
    <col min="2" max="2" width="34" customWidth="1"/>
    <col min="3" max="3" width="35.42578125" customWidth="1"/>
    <col min="4" max="4" width="10" bestFit="1" customWidth="1"/>
    <col min="5" max="5" width="9.57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 x14ac:dyDescent="0.2">
      <c r="A2" s="2">
        <v>46062</v>
      </c>
      <c r="B2" s="3" t="s">
        <v>7</v>
      </c>
      <c r="C2" s="3" t="s">
        <v>10</v>
      </c>
      <c r="D2" s="3">
        <v>950000</v>
      </c>
      <c r="E2" s="3">
        <v>0</v>
      </c>
    </row>
    <row r="3" spans="1:5" x14ac:dyDescent="0.2">
      <c r="A3" s="2">
        <v>46062</v>
      </c>
      <c r="B3" s="3" t="s">
        <v>7</v>
      </c>
      <c r="C3" s="3" t="s">
        <v>11</v>
      </c>
      <c r="D3" s="3">
        <v>350000</v>
      </c>
      <c r="E3" s="3">
        <v>0</v>
      </c>
    </row>
    <row r="4" spans="1:5" x14ac:dyDescent="0.2">
      <c r="A4" s="2">
        <v>46063</v>
      </c>
      <c r="B4" s="3" t="s">
        <v>12</v>
      </c>
      <c r="C4" s="3" t="s">
        <v>13</v>
      </c>
      <c r="D4" s="3">
        <v>0</v>
      </c>
      <c r="E4" s="3">
        <v>1200</v>
      </c>
    </row>
    <row r="5" spans="1:5" x14ac:dyDescent="0.2">
      <c r="A5" s="2">
        <v>46063</v>
      </c>
      <c r="B5" s="3" t="s">
        <v>12</v>
      </c>
      <c r="C5" s="3" t="s">
        <v>14</v>
      </c>
      <c r="D5" s="3">
        <v>0</v>
      </c>
      <c r="E5" s="3">
        <v>450</v>
      </c>
    </row>
    <row r="6" spans="1:5" x14ac:dyDescent="0.2">
      <c r="A6" s="2">
        <v>46064</v>
      </c>
      <c r="B6" s="3" t="s">
        <v>15</v>
      </c>
      <c r="C6" s="3" t="s">
        <v>16</v>
      </c>
      <c r="D6" s="3">
        <v>125000</v>
      </c>
      <c r="E6" s="3">
        <v>0</v>
      </c>
    </row>
    <row r="7" spans="1:5" x14ac:dyDescent="0.2">
      <c r="A7" s="2">
        <v>46064</v>
      </c>
      <c r="B7" s="3" t="s">
        <v>15</v>
      </c>
      <c r="C7" s="3" t="s">
        <v>17</v>
      </c>
      <c r="D7" s="3">
        <v>45000</v>
      </c>
      <c r="E7" s="3">
        <v>0</v>
      </c>
    </row>
    <row r="8" spans="1:5" x14ac:dyDescent="0.2">
      <c r="A8" s="2">
        <v>46065</v>
      </c>
      <c r="B8" s="3" t="s">
        <v>4</v>
      </c>
      <c r="C8" s="3" t="s">
        <v>18</v>
      </c>
      <c r="D8" s="3">
        <v>0</v>
      </c>
      <c r="E8" s="3">
        <v>300</v>
      </c>
    </row>
    <row r="9" spans="1:5" x14ac:dyDescent="0.2">
      <c r="A9" s="2">
        <v>46066</v>
      </c>
      <c r="B9" s="3" t="s">
        <v>19</v>
      </c>
      <c r="C9" s="3" t="s">
        <v>20</v>
      </c>
      <c r="D9" s="3">
        <v>25000</v>
      </c>
      <c r="E9" s="3">
        <v>0</v>
      </c>
    </row>
    <row r="10" spans="1:5" x14ac:dyDescent="0.2">
      <c r="A10" s="2">
        <v>46066</v>
      </c>
      <c r="B10" s="3" t="s">
        <v>3</v>
      </c>
      <c r="C10" s="3" t="s">
        <v>21</v>
      </c>
      <c r="D10" s="3">
        <v>0</v>
      </c>
      <c r="E10" s="3">
        <v>60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C8D7B-692E-44B2-9EBA-B7470FEDD84C}">
  <dimension ref="A1:G230"/>
  <sheetViews>
    <sheetView workbookViewId="0">
      <selection activeCell="F10" sqref="F10"/>
    </sheetView>
  </sheetViews>
  <sheetFormatPr baseColWidth="10" defaultRowHeight="12.75" x14ac:dyDescent="0.2"/>
  <cols>
    <col min="1" max="1" width="15.5703125" customWidth="1"/>
    <col min="2" max="2" width="35.5703125" customWidth="1"/>
    <col min="3" max="3" width="48.85546875" customWidth="1"/>
    <col min="4" max="4" width="15.140625" customWidth="1"/>
    <col min="5" max="5" width="13.28515625" customWidth="1"/>
    <col min="6" max="6" width="11.5703125" customWidth="1"/>
    <col min="7" max="7" width="12.5703125" customWidth="1"/>
  </cols>
  <sheetData>
    <row r="1" spans="1:7" ht="38.25" x14ac:dyDescent="0.2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175</v>
      </c>
      <c r="G1" s="1" t="s">
        <v>176</v>
      </c>
    </row>
    <row r="2" spans="1:7" x14ac:dyDescent="0.2">
      <c r="A2" s="2">
        <f t="shared" ref="A2:A11" ca="1" si="0">TODAY()</f>
        <v>46132</v>
      </c>
      <c r="B2" s="1" t="s">
        <v>164</v>
      </c>
      <c r="C2" s="1" t="s">
        <v>165</v>
      </c>
      <c r="D2" s="3"/>
      <c r="E2" s="3">
        <v>0</v>
      </c>
      <c r="F2" s="3"/>
      <c r="G2" s="3"/>
    </row>
    <row r="3" spans="1:7" x14ac:dyDescent="0.2">
      <c r="A3" s="2">
        <f t="shared" ca="1" si="0"/>
        <v>46132</v>
      </c>
      <c r="B3" s="1" t="s">
        <v>164</v>
      </c>
      <c r="C3" s="1" t="s">
        <v>166</v>
      </c>
      <c r="D3" s="3"/>
      <c r="E3" s="3">
        <v>24668.7</v>
      </c>
      <c r="F3" s="3"/>
      <c r="G3" s="3"/>
    </row>
    <row r="4" spans="1:7" x14ac:dyDescent="0.2">
      <c r="A4" s="2">
        <f t="shared" ca="1" si="0"/>
        <v>46132</v>
      </c>
      <c r="B4" s="1" t="s">
        <v>164</v>
      </c>
      <c r="C4" s="1" t="s">
        <v>167</v>
      </c>
      <c r="D4" s="3"/>
      <c r="E4" s="3">
        <v>0.35</v>
      </c>
      <c r="F4" s="3"/>
      <c r="G4" s="3"/>
    </row>
    <row r="5" spans="1:7" x14ac:dyDescent="0.2">
      <c r="A5" s="2">
        <f t="shared" ca="1" si="0"/>
        <v>46132</v>
      </c>
      <c r="B5" s="1" t="s">
        <v>164</v>
      </c>
      <c r="C5" s="1" t="s">
        <v>168</v>
      </c>
      <c r="D5" s="3">
        <v>814393.5</v>
      </c>
      <c r="E5" s="3"/>
      <c r="F5" s="3"/>
      <c r="G5" s="3"/>
    </row>
    <row r="6" spans="1:7" x14ac:dyDescent="0.2">
      <c r="A6" s="2">
        <f t="shared" ca="1" si="0"/>
        <v>46132</v>
      </c>
      <c r="B6" s="1" t="s">
        <v>164</v>
      </c>
      <c r="C6" s="1" t="s">
        <v>169</v>
      </c>
      <c r="D6" s="3">
        <v>0</v>
      </c>
      <c r="E6" s="3"/>
      <c r="F6" s="3"/>
      <c r="G6" s="3"/>
    </row>
    <row r="7" spans="1:7" x14ac:dyDescent="0.2">
      <c r="A7" s="2">
        <f t="shared" ca="1" si="0"/>
        <v>46132</v>
      </c>
      <c r="B7" s="1" t="s">
        <v>164</v>
      </c>
      <c r="C7" s="1" t="s">
        <v>170</v>
      </c>
      <c r="D7" s="3">
        <v>0</v>
      </c>
      <c r="E7" s="3"/>
      <c r="F7" s="3"/>
      <c r="G7" s="3"/>
    </row>
    <row r="8" spans="1:7" x14ac:dyDescent="0.2">
      <c r="A8" s="2">
        <f t="shared" ca="1" si="0"/>
        <v>46132</v>
      </c>
      <c r="B8" s="1" t="s">
        <v>164</v>
      </c>
      <c r="C8" s="1" t="s">
        <v>174</v>
      </c>
      <c r="D8" s="3"/>
      <c r="E8" s="3">
        <v>896.27</v>
      </c>
      <c r="F8" s="3"/>
      <c r="G8" s="3"/>
    </row>
    <row r="9" spans="1:7" x14ac:dyDescent="0.2">
      <c r="A9" s="2">
        <f t="shared" ca="1" si="0"/>
        <v>46132</v>
      </c>
      <c r="B9" s="1" t="s">
        <v>164</v>
      </c>
      <c r="C9" s="1" t="s">
        <v>171</v>
      </c>
      <c r="D9" s="3">
        <v>6279138.0199999996</v>
      </c>
      <c r="E9" s="3"/>
      <c r="F9" s="3"/>
      <c r="G9" s="3"/>
    </row>
    <row r="10" spans="1:7" x14ac:dyDescent="0.2">
      <c r="A10" s="2">
        <f t="shared" ca="1" si="0"/>
        <v>46132</v>
      </c>
      <c r="B10" s="1" t="s">
        <v>164</v>
      </c>
      <c r="C10" s="1" t="s">
        <v>172</v>
      </c>
      <c r="D10" s="3"/>
      <c r="E10" s="3">
        <v>34976.21</v>
      </c>
      <c r="F10" s="3"/>
      <c r="G10" s="3"/>
    </row>
    <row r="11" spans="1:7" x14ac:dyDescent="0.2">
      <c r="A11" s="2">
        <f t="shared" ca="1" si="0"/>
        <v>46132</v>
      </c>
      <c r="B11" s="1" t="s">
        <v>164</v>
      </c>
      <c r="C11" s="1" t="s">
        <v>173</v>
      </c>
      <c r="D11" s="3">
        <v>0</v>
      </c>
      <c r="E11" s="3"/>
    </row>
    <row r="12" spans="1:7" x14ac:dyDescent="0.2">
      <c r="A12" s="2">
        <f ca="1">TODAY()</f>
        <v>46132</v>
      </c>
      <c r="B12" s="3" t="s">
        <v>22</v>
      </c>
      <c r="C12" s="3" t="s">
        <v>55</v>
      </c>
      <c r="D12" s="3">
        <v>7813745.3300000001</v>
      </c>
      <c r="E12" s="3">
        <v>0</v>
      </c>
    </row>
    <row r="13" spans="1:7" ht="25.5" x14ac:dyDescent="0.2">
      <c r="A13" s="2">
        <f t="shared" ref="A13:A76" ca="1" si="1">TODAY()</f>
        <v>46132</v>
      </c>
      <c r="B13" s="3" t="s">
        <v>22</v>
      </c>
      <c r="C13" s="3" t="s">
        <v>56</v>
      </c>
      <c r="D13" s="3">
        <v>4388486.32</v>
      </c>
      <c r="E13" s="3">
        <v>0</v>
      </c>
    </row>
    <row r="14" spans="1:7" x14ac:dyDescent="0.2">
      <c r="A14" s="2">
        <f t="shared" ca="1" si="1"/>
        <v>46132</v>
      </c>
      <c r="B14" s="3" t="s">
        <v>22</v>
      </c>
      <c r="C14" s="3" t="s">
        <v>57</v>
      </c>
      <c r="D14" s="3">
        <v>0</v>
      </c>
      <c r="E14" s="3">
        <v>0</v>
      </c>
    </row>
    <row r="15" spans="1:7" x14ac:dyDescent="0.2">
      <c r="A15" s="2">
        <f t="shared" ca="1" si="1"/>
        <v>46132</v>
      </c>
      <c r="B15" s="3" t="s">
        <v>29</v>
      </c>
      <c r="C15" s="3" t="s">
        <v>58</v>
      </c>
      <c r="D15" s="3">
        <v>2385537.27</v>
      </c>
      <c r="E15" s="3">
        <v>0</v>
      </c>
    </row>
    <row r="16" spans="1:7" x14ac:dyDescent="0.2">
      <c r="A16" s="2">
        <f t="shared" ca="1" si="1"/>
        <v>46132</v>
      </c>
      <c r="B16" s="3" t="s">
        <v>29</v>
      </c>
      <c r="C16" s="3" t="s">
        <v>59</v>
      </c>
      <c r="D16" s="3">
        <v>1152391.92</v>
      </c>
      <c r="E16" s="3">
        <v>0</v>
      </c>
    </row>
    <row r="17" spans="1:5" x14ac:dyDescent="0.2">
      <c r="A17" s="2">
        <f t="shared" ca="1" si="1"/>
        <v>46132</v>
      </c>
      <c r="B17" s="3" t="s">
        <v>29</v>
      </c>
      <c r="C17" s="3" t="s">
        <v>60</v>
      </c>
      <c r="D17" s="3">
        <v>406190.3</v>
      </c>
      <c r="E17" s="3">
        <v>0</v>
      </c>
    </row>
    <row r="18" spans="1:5" x14ac:dyDescent="0.2">
      <c r="A18" s="2">
        <f t="shared" ca="1" si="1"/>
        <v>46132</v>
      </c>
      <c r="B18" s="3" t="s">
        <v>29</v>
      </c>
      <c r="C18" s="3"/>
      <c r="D18" s="3">
        <v>0</v>
      </c>
      <c r="E18" s="3">
        <v>0</v>
      </c>
    </row>
    <row r="19" spans="1:5" x14ac:dyDescent="0.2">
      <c r="A19" s="2">
        <f t="shared" ca="1" si="1"/>
        <v>46132</v>
      </c>
      <c r="B19" s="3" t="s">
        <v>29</v>
      </c>
      <c r="C19" s="3" t="s">
        <v>61</v>
      </c>
      <c r="D19" s="3">
        <v>0</v>
      </c>
      <c r="E19" s="3">
        <v>0</v>
      </c>
    </row>
    <row r="20" spans="1:5" x14ac:dyDescent="0.2">
      <c r="A20" s="2">
        <f t="shared" ca="1" si="1"/>
        <v>46132</v>
      </c>
      <c r="B20" s="3" t="s">
        <v>23</v>
      </c>
      <c r="C20" s="3" t="s">
        <v>62</v>
      </c>
      <c r="D20" s="3">
        <v>0</v>
      </c>
      <c r="E20" s="3">
        <v>0</v>
      </c>
    </row>
    <row r="21" spans="1:5" x14ac:dyDescent="0.2">
      <c r="A21" s="2">
        <f t="shared" ca="1" si="1"/>
        <v>46132</v>
      </c>
      <c r="B21" s="3" t="s">
        <v>23</v>
      </c>
      <c r="C21" s="3"/>
      <c r="D21" s="3">
        <v>0</v>
      </c>
      <c r="E21" s="3">
        <v>0</v>
      </c>
    </row>
    <row r="22" spans="1:5" x14ac:dyDescent="0.2">
      <c r="A22" s="2">
        <f t="shared" ca="1" si="1"/>
        <v>46132</v>
      </c>
      <c r="B22" s="3" t="s">
        <v>23</v>
      </c>
      <c r="C22" s="3" t="s">
        <v>63</v>
      </c>
      <c r="D22" s="3">
        <v>0</v>
      </c>
      <c r="E22" s="3">
        <v>0</v>
      </c>
    </row>
    <row r="23" spans="1:5" x14ac:dyDescent="0.2">
      <c r="A23" s="2">
        <f t="shared" ca="1" si="1"/>
        <v>46132</v>
      </c>
      <c r="B23" s="3" t="s">
        <v>23</v>
      </c>
      <c r="C23" s="3" t="s">
        <v>64</v>
      </c>
      <c r="D23" s="3">
        <v>0</v>
      </c>
      <c r="E23" s="3">
        <v>0</v>
      </c>
    </row>
    <row r="24" spans="1:5" x14ac:dyDescent="0.2">
      <c r="A24" s="2">
        <f t="shared" ca="1" si="1"/>
        <v>46132</v>
      </c>
      <c r="B24" s="3" t="s">
        <v>23</v>
      </c>
      <c r="C24" s="3"/>
      <c r="D24" s="3">
        <v>0</v>
      </c>
      <c r="E24" s="3">
        <v>0</v>
      </c>
    </row>
    <row r="25" spans="1:5" x14ac:dyDescent="0.2">
      <c r="A25" s="2">
        <f t="shared" ca="1" si="1"/>
        <v>46132</v>
      </c>
      <c r="B25" s="3" t="s">
        <v>23</v>
      </c>
      <c r="C25" s="3"/>
      <c r="D25" s="3">
        <v>0</v>
      </c>
      <c r="E25" s="3">
        <v>0</v>
      </c>
    </row>
    <row r="26" spans="1:5" x14ac:dyDescent="0.2">
      <c r="A26" s="2">
        <f t="shared" ca="1" si="1"/>
        <v>46132</v>
      </c>
      <c r="B26" s="3" t="s">
        <v>30</v>
      </c>
      <c r="C26" s="3" t="s">
        <v>65</v>
      </c>
      <c r="D26" s="3">
        <v>0</v>
      </c>
      <c r="E26" s="3">
        <v>0</v>
      </c>
    </row>
    <row r="27" spans="1:5" x14ac:dyDescent="0.2">
      <c r="A27" s="2">
        <f t="shared" ca="1" si="1"/>
        <v>46132</v>
      </c>
      <c r="B27" t="s">
        <v>30</v>
      </c>
      <c r="C27" t="s">
        <v>66</v>
      </c>
      <c r="D27" s="3">
        <v>0</v>
      </c>
      <c r="E27" s="3">
        <v>0</v>
      </c>
    </row>
    <row r="28" spans="1:5" x14ac:dyDescent="0.2">
      <c r="A28" s="2">
        <f t="shared" ca="1" si="1"/>
        <v>46132</v>
      </c>
      <c r="B28" t="s">
        <v>30</v>
      </c>
      <c r="C28" t="s">
        <v>67</v>
      </c>
      <c r="D28" s="3">
        <v>0</v>
      </c>
      <c r="E28" s="3">
        <v>0</v>
      </c>
    </row>
    <row r="29" spans="1:5" x14ac:dyDescent="0.2">
      <c r="A29" s="2">
        <f t="shared" ca="1" si="1"/>
        <v>46132</v>
      </c>
      <c r="B29" t="s">
        <v>31</v>
      </c>
      <c r="C29" t="s">
        <v>68</v>
      </c>
      <c r="D29" s="3">
        <v>285361.11</v>
      </c>
      <c r="E29" s="3">
        <v>0</v>
      </c>
    </row>
    <row r="30" spans="1:5" x14ac:dyDescent="0.2">
      <c r="A30" s="2">
        <f t="shared" ca="1" si="1"/>
        <v>46132</v>
      </c>
      <c r="B30" t="s">
        <v>31</v>
      </c>
      <c r="C30" t="s">
        <v>68</v>
      </c>
      <c r="D30" s="3">
        <v>0</v>
      </c>
      <c r="E30" s="3">
        <v>0</v>
      </c>
    </row>
    <row r="31" spans="1:5" x14ac:dyDescent="0.2">
      <c r="A31" s="2">
        <f t="shared" ca="1" si="1"/>
        <v>46132</v>
      </c>
      <c r="B31" t="s">
        <v>31</v>
      </c>
      <c r="D31" s="3">
        <v>0</v>
      </c>
      <c r="E31" s="3">
        <v>0</v>
      </c>
    </row>
    <row r="32" spans="1:5" x14ac:dyDescent="0.2">
      <c r="A32" s="2">
        <f t="shared" ca="1" si="1"/>
        <v>46132</v>
      </c>
      <c r="B32" t="s">
        <v>31</v>
      </c>
      <c r="D32" s="3">
        <v>0</v>
      </c>
      <c r="E32" s="3">
        <v>0</v>
      </c>
    </row>
    <row r="33" spans="1:5" x14ac:dyDescent="0.2">
      <c r="A33" s="2">
        <f t="shared" ca="1" si="1"/>
        <v>46132</v>
      </c>
      <c r="B33" t="s">
        <v>32</v>
      </c>
      <c r="C33" t="s">
        <v>69</v>
      </c>
      <c r="D33" s="3">
        <v>0</v>
      </c>
      <c r="E33" s="3">
        <v>0</v>
      </c>
    </row>
    <row r="34" spans="1:5" x14ac:dyDescent="0.2">
      <c r="A34" s="2">
        <f t="shared" ca="1" si="1"/>
        <v>46132</v>
      </c>
      <c r="B34" t="s">
        <v>33</v>
      </c>
      <c r="C34" t="s">
        <v>70</v>
      </c>
      <c r="D34" s="3">
        <v>0</v>
      </c>
      <c r="E34" s="3">
        <v>0</v>
      </c>
    </row>
    <row r="35" spans="1:5" x14ac:dyDescent="0.2">
      <c r="A35" s="2">
        <f t="shared" ca="1" si="1"/>
        <v>46132</v>
      </c>
      <c r="B35" t="s">
        <v>33</v>
      </c>
      <c r="C35" t="s">
        <v>71</v>
      </c>
      <c r="D35" s="3">
        <v>0</v>
      </c>
      <c r="E35" s="3">
        <v>0</v>
      </c>
    </row>
    <row r="36" spans="1:5" x14ac:dyDescent="0.2">
      <c r="A36" s="2">
        <f t="shared" ca="1" si="1"/>
        <v>46132</v>
      </c>
      <c r="B36" t="s">
        <v>33</v>
      </c>
      <c r="C36" t="s">
        <v>72</v>
      </c>
      <c r="D36" s="3">
        <v>0</v>
      </c>
      <c r="E36" s="3">
        <v>0</v>
      </c>
    </row>
    <row r="37" spans="1:5" x14ac:dyDescent="0.2">
      <c r="A37" s="2">
        <f t="shared" ca="1" si="1"/>
        <v>46132</v>
      </c>
      <c r="B37" t="s">
        <v>19</v>
      </c>
      <c r="C37" t="s">
        <v>73</v>
      </c>
      <c r="D37" s="3">
        <v>346621.65</v>
      </c>
      <c r="E37" s="3">
        <v>0</v>
      </c>
    </row>
    <row r="38" spans="1:5" x14ac:dyDescent="0.2">
      <c r="A38" s="2">
        <f t="shared" ca="1" si="1"/>
        <v>46132</v>
      </c>
      <c r="B38" t="s">
        <v>19</v>
      </c>
      <c r="C38" t="s">
        <v>74</v>
      </c>
      <c r="D38" s="3">
        <v>0</v>
      </c>
      <c r="E38" s="3">
        <v>0</v>
      </c>
    </row>
    <row r="39" spans="1:5" x14ac:dyDescent="0.2">
      <c r="A39" s="2">
        <f t="shared" ca="1" si="1"/>
        <v>46132</v>
      </c>
      <c r="B39" t="s">
        <v>34</v>
      </c>
      <c r="C39" t="s">
        <v>75</v>
      </c>
      <c r="D39" s="3">
        <v>0</v>
      </c>
      <c r="E39" s="3">
        <v>0</v>
      </c>
    </row>
    <row r="40" spans="1:5" x14ac:dyDescent="0.2">
      <c r="A40" s="2">
        <f t="shared" ca="1" si="1"/>
        <v>46132</v>
      </c>
      <c r="B40" t="s">
        <v>34</v>
      </c>
      <c r="C40" t="s">
        <v>76</v>
      </c>
      <c r="D40" s="3">
        <v>0</v>
      </c>
      <c r="E40" s="3">
        <v>0</v>
      </c>
    </row>
    <row r="41" spans="1:5" x14ac:dyDescent="0.2">
      <c r="A41" s="2">
        <f t="shared" ca="1" si="1"/>
        <v>46132</v>
      </c>
      <c r="B41" t="s">
        <v>35</v>
      </c>
      <c r="D41" s="3">
        <v>0</v>
      </c>
      <c r="E41" s="3">
        <v>0</v>
      </c>
    </row>
    <row r="42" spans="1:5" x14ac:dyDescent="0.2">
      <c r="A42" s="2">
        <f t="shared" ca="1" si="1"/>
        <v>46132</v>
      </c>
      <c r="B42" t="s">
        <v>35</v>
      </c>
      <c r="D42" s="3">
        <v>0</v>
      </c>
      <c r="E42" s="3">
        <v>0</v>
      </c>
    </row>
    <row r="43" spans="1:5" x14ac:dyDescent="0.2">
      <c r="A43" s="2">
        <f t="shared" ca="1" si="1"/>
        <v>46132</v>
      </c>
      <c r="B43" t="s">
        <v>35</v>
      </c>
      <c r="D43" s="3">
        <v>0</v>
      </c>
      <c r="E43" s="3">
        <v>0</v>
      </c>
    </row>
    <row r="44" spans="1:5" x14ac:dyDescent="0.2">
      <c r="A44" s="2">
        <f t="shared" ca="1" si="1"/>
        <v>46132</v>
      </c>
      <c r="B44" t="s">
        <v>35</v>
      </c>
      <c r="D44" s="3">
        <v>0</v>
      </c>
      <c r="E44" s="3">
        <v>0</v>
      </c>
    </row>
    <row r="45" spans="1:5" x14ac:dyDescent="0.2">
      <c r="A45" s="2">
        <f t="shared" ca="1" si="1"/>
        <v>46132</v>
      </c>
      <c r="B45" t="s">
        <v>36</v>
      </c>
      <c r="C45" t="s">
        <v>77</v>
      </c>
      <c r="D45" s="3">
        <v>0</v>
      </c>
      <c r="E45" s="3">
        <v>14315.7</v>
      </c>
    </row>
    <row r="46" spans="1:5" x14ac:dyDescent="0.2">
      <c r="A46" s="2">
        <f t="shared" ca="1" si="1"/>
        <v>46132</v>
      </c>
      <c r="B46" t="s">
        <v>36</v>
      </c>
      <c r="C46" t="s">
        <v>78</v>
      </c>
      <c r="D46" s="3">
        <v>0</v>
      </c>
      <c r="E46" s="3">
        <v>0</v>
      </c>
    </row>
    <row r="47" spans="1:5" x14ac:dyDescent="0.2">
      <c r="A47" s="2">
        <f t="shared" ca="1" si="1"/>
        <v>46132</v>
      </c>
      <c r="B47" t="s">
        <v>37</v>
      </c>
      <c r="C47" t="s">
        <v>79</v>
      </c>
      <c r="D47" s="3">
        <v>0</v>
      </c>
      <c r="E47" s="3">
        <v>0</v>
      </c>
    </row>
    <row r="48" spans="1:5" x14ac:dyDescent="0.2">
      <c r="A48" s="2">
        <f t="shared" ca="1" si="1"/>
        <v>46132</v>
      </c>
      <c r="B48" t="s">
        <v>37</v>
      </c>
      <c r="C48" t="s">
        <v>80</v>
      </c>
      <c r="D48" s="3">
        <v>0</v>
      </c>
      <c r="E48" s="3">
        <v>0</v>
      </c>
    </row>
    <row r="49" spans="1:5" x14ac:dyDescent="0.2">
      <c r="A49" s="2">
        <f t="shared" ca="1" si="1"/>
        <v>46132</v>
      </c>
      <c r="B49" t="s">
        <v>37</v>
      </c>
      <c r="C49" t="s">
        <v>80</v>
      </c>
      <c r="D49" s="3">
        <v>0</v>
      </c>
      <c r="E49" s="3">
        <v>0</v>
      </c>
    </row>
    <row r="50" spans="1:5" x14ac:dyDescent="0.2">
      <c r="A50" s="2">
        <f t="shared" ca="1" si="1"/>
        <v>46132</v>
      </c>
      <c r="B50" t="s">
        <v>37</v>
      </c>
      <c r="C50" t="s">
        <v>81</v>
      </c>
      <c r="D50" s="3">
        <v>0</v>
      </c>
      <c r="E50" s="3">
        <v>0</v>
      </c>
    </row>
    <row r="51" spans="1:5" x14ac:dyDescent="0.2">
      <c r="A51" s="2">
        <f t="shared" ca="1" si="1"/>
        <v>46132</v>
      </c>
      <c r="B51" t="s">
        <v>8</v>
      </c>
      <c r="C51" t="s">
        <v>82</v>
      </c>
      <c r="D51" s="3">
        <v>1039692.1</v>
      </c>
      <c r="E51" s="3">
        <v>0</v>
      </c>
    </row>
    <row r="52" spans="1:5" x14ac:dyDescent="0.2">
      <c r="A52" s="2">
        <f t="shared" ca="1" si="1"/>
        <v>46132</v>
      </c>
      <c r="B52" t="s">
        <v>8</v>
      </c>
      <c r="C52" t="s">
        <v>83</v>
      </c>
      <c r="D52" s="3">
        <v>302876.31</v>
      </c>
      <c r="E52" s="3">
        <v>0</v>
      </c>
    </row>
    <row r="53" spans="1:5" x14ac:dyDescent="0.2">
      <c r="A53" s="2">
        <f t="shared" ca="1" si="1"/>
        <v>46132</v>
      </c>
      <c r="B53" t="s">
        <v>8</v>
      </c>
      <c r="C53" t="s">
        <v>84</v>
      </c>
      <c r="D53" s="3">
        <v>0</v>
      </c>
      <c r="E53" s="3">
        <v>0</v>
      </c>
    </row>
    <row r="54" spans="1:5" x14ac:dyDescent="0.2">
      <c r="A54" s="2">
        <f t="shared" ca="1" si="1"/>
        <v>46132</v>
      </c>
      <c r="B54" t="s">
        <v>8</v>
      </c>
      <c r="C54" t="s">
        <v>85</v>
      </c>
      <c r="D54" s="3">
        <v>37290</v>
      </c>
      <c r="E54" s="3">
        <v>0</v>
      </c>
    </row>
    <row r="55" spans="1:5" x14ac:dyDescent="0.2">
      <c r="A55" s="2">
        <f t="shared" ca="1" si="1"/>
        <v>46132</v>
      </c>
      <c r="B55" t="s">
        <v>8</v>
      </c>
      <c r="C55" t="s">
        <v>86</v>
      </c>
      <c r="D55" s="3">
        <v>489826.56</v>
      </c>
      <c r="E55" s="3">
        <v>0</v>
      </c>
    </row>
    <row r="56" spans="1:5" x14ac:dyDescent="0.2">
      <c r="A56" s="2">
        <f t="shared" ca="1" si="1"/>
        <v>46132</v>
      </c>
      <c r="B56" t="s">
        <v>8</v>
      </c>
      <c r="C56" t="s">
        <v>87</v>
      </c>
      <c r="D56" s="3">
        <v>19399.990000000002</v>
      </c>
      <c r="E56" s="3">
        <v>0</v>
      </c>
    </row>
    <row r="57" spans="1:5" x14ac:dyDescent="0.2">
      <c r="A57" s="2">
        <f t="shared" ca="1" si="1"/>
        <v>46132</v>
      </c>
      <c r="B57" t="s">
        <v>38</v>
      </c>
      <c r="C57" t="s">
        <v>88</v>
      </c>
      <c r="D57" s="3">
        <v>0</v>
      </c>
      <c r="E57" s="3">
        <v>0</v>
      </c>
    </row>
    <row r="58" spans="1:5" x14ac:dyDescent="0.2">
      <c r="A58" s="2">
        <f t="shared" ca="1" si="1"/>
        <v>46132</v>
      </c>
      <c r="B58" t="s">
        <v>39</v>
      </c>
      <c r="D58" s="3">
        <v>0</v>
      </c>
      <c r="E58" s="3">
        <v>0</v>
      </c>
    </row>
    <row r="59" spans="1:5" x14ac:dyDescent="0.2">
      <c r="A59" s="2">
        <f t="shared" ca="1" si="1"/>
        <v>46132</v>
      </c>
      <c r="B59" t="s">
        <v>40</v>
      </c>
      <c r="D59" s="3">
        <v>0</v>
      </c>
      <c r="E59" s="3">
        <v>0</v>
      </c>
    </row>
    <row r="60" spans="1:5" x14ac:dyDescent="0.2">
      <c r="A60" s="2">
        <f t="shared" ca="1" si="1"/>
        <v>46132</v>
      </c>
      <c r="B60" t="s">
        <v>40</v>
      </c>
      <c r="D60" s="3">
        <v>0</v>
      </c>
      <c r="E60" s="3">
        <v>0</v>
      </c>
    </row>
    <row r="61" spans="1:5" x14ac:dyDescent="0.2">
      <c r="A61" s="2">
        <f t="shared" ca="1" si="1"/>
        <v>46132</v>
      </c>
      <c r="B61" t="s">
        <v>41</v>
      </c>
      <c r="C61" t="s">
        <v>89</v>
      </c>
      <c r="D61" s="3">
        <v>0</v>
      </c>
      <c r="E61" s="3">
        <v>0</v>
      </c>
    </row>
    <row r="62" spans="1:5" x14ac:dyDescent="0.2">
      <c r="A62" s="2">
        <f t="shared" ca="1" si="1"/>
        <v>46132</v>
      </c>
      <c r="B62" t="s">
        <v>41</v>
      </c>
      <c r="D62" s="3">
        <v>0</v>
      </c>
      <c r="E62" s="3">
        <v>0</v>
      </c>
    </row>
    <row r="63" spans="1:5" x14ac:dyDescent="0.2">
      <c r="A63" s="2">
        <f t="shared" ca="1" si="1"/>
        <v>46132</v>
      </c>
      <c r="B63" t="s">
        <v>25</v>
      </c>
      <c r="C63" t="s">
        <v>178</v>
      </c>
      <c r="D63" s="3">
        <v>0</v>
      </c>
      <c r="E63" s="3">
        <v>3450</v>
      </c>
    </row>
    <row r="64" spans="1:5" x14ac:dyDescent="0.2">
      <c r="A64" s="2">
        <f t="shared" ca="1" si="1"/>
        <v>46132</v>
      </c>
      <c r="B64" t="s">
        <v>25</v>
      </c>
      <c r="C64" s="4" t="s">
        <v>179</v>
      </c>
      <c r="D64" s="3">
        <v>0</v>
      </c>
      <c r="E64" s="3">
        <v>384</v>
      </c>
    </row>
    <row r="65" spans="1:5" x14ac:dyDescent="0.2">
      <c r="A65" s="2">
        <f t="shared" ca="1" si="1"/>
        <v>46132</v>
      </c>
      <c r="B65" t="s">
        <v>25</v>
      </c>
      <c r="C65" s="4" t="s">
        <v>180</v>
      </c>
      <c r="D65" s="3">
        <v>0</v>
      </c>
      <c r="E65" s="3">
        <v>700</v>
      </c>
    </row>
    <row r="66" spans="1:5" x14ac:dyDescent="0.2">
      <c r="A66" s="2">
        <f t="shared" ca="1" si="1"/>
        <v>46132</v>
      </c>
      <c r="B66" t="s">
        <v>25</v>
      </c>
      <c r="C66" t="s">
        <v>181</v>
      </c>
      <c r="D66" s="3">
        <v>0</v>
      </c>
      <c r="E66" s="3">
        <v>59.27</v>
      </c>
    </row>
    <row r="67" spans="1:5" x14ac:dyDescent="0.2">
      <c r="A67" s="2">
        <f t="shared" ca="1" si="1"/>
        <v>46132</v>
      </c>
      <c r="B67" t="s">
        <v>25</v>
      </c>
      <c r="C67" t="s">
        <v>182</v>
      </c>
      <c r="D67" s="3">
        <v>0</v>
      </c>
      <c r="E67" s="3">
        <v>521.66</v>
      </c>
    </row>
    <row r="68" spans="1:5" x14ac:dyDescent="0.2">
      <c r="A68" s="2">
        <f t="shared" ca="1" si="1"/>
        <v>46132</v>
      </c>
      <c r="B68" t="s">
        <v>25</v>
      </c>
      <c r="C68" t="s">
        <v>183</v>
      </c>
      <c r="D68" s="3">
        <v>0</v>
      </c>
      <c r="E68" s="3">
        <v>419.98</v>
      </c>
    </row>
    <row r="69" spans="1:5" x14ac:dyDescent="0.2">
      <c r="A69" s="2">
        <f t="shared" ca="1" si="1"/>
        <v>46132</v>
      </c>
      <c r="B69" t="s">
        <v>25</v>
      </c>
      <c r="C69" t="s">
        <v>184</v>
      </c>
      <c r="D69" s="3">
        <v>0</v>
      </c>
      <c r="E69" s="3">
        <v>59.849899999999998</v>
      </c>
    </row>
    <row r="70" spans="1:5" x14ac:dyDescent="0.2">
      <c r="A70" s="2">
        <f t="shared" ca="1" si="1"/>
        <v>46132</v>
      </c>
      <c r="B70" t="s">
        <v>25</v>
      </c>
      <c r="C70" t="s">
        <v>185</v>
      </c>
      <c r="D70" s="3">
        <v>0</v>
      </c>
      <c r="E70" s="3">
        <v>1923.48</v>
      </c>
    </row>
    <row r="71" spans="1:5" x14ac:dyDescent="0.2">
      <c r="A71" s="2">
        <f t="shared" ca="1" si="1"/>
        <v>46132</v>
      </c>
      <c r="B71" t="s">
        <v>25</v>
      </c>
      <c r="C71" t="s">
        <v>186</v>
      </c>
      <c r="D71" s="3">
        <v>0</v>
      </c>
      <c r="E71" s="3">
        <v>27837.424999999999</v>
      </c>
    </row>
    <row r="72" spans="1:5" x14ac:dyDescent="0.2">
      <c r="A72" s="2">
        <f t="shared" ca="1" si="1"/>
        <v>46132</v>
      </c>
      <c r="B72" t="s">
        <v>25</v>
      </c>
      <c r="C72" t="s">
        <v>187</v>
      </c>
      <c r="D72" s="3">
        <v>0</v>
      </c>
      <c r="E72" s="3">
        <v>960</v>
      </c>
    </row>
    <row r="73" spans="1:5" x14ac:dyDescent="0.2">
      <c r="A73" s="2">
        <f t="shared" ca="1" si="1"/>
        <v>46132</v>
      </c>
      <c r="B73" t="s">
        <v>25</v>
      </c>
      <c r="C73" t="s">
        <v>188</v>
      </c>
      <c r="D73" s="3">
        <v>0</v>
      </c>
      <c r="E73" s="3">
        <v>11150</v>
      </c>
    </row>
    <row r="74" spans="1:5" x14ac:dyDescent="0.2">
      <c r="A74" s="2">
        <f t="shared" ca="1" si="1"/>
        <v>46132</v>
      </c>
      <c r="B74" t="s">
        <v>25</v>
      </c>
      <c r="C74" t="s">
        <v>189</v>
      </c>
      <c r="D74" s="3">
        <v>0</v>
      </c>
      <c r="E74" s="3">
        <v>700</v>
      </c>
    </row>
    <row r="75" spans="1:5" x14ac:dyDescent="0.2">
      <c r="A75" s="2">
        <f t="shared" ca="1" si="1"/>
        <v>46132</v>
      </c>
      <c r="B75" t="s">
        <v>25</v>
      </c>
      <c r="C75" t="s">
        <v>190</v>
      </c>
      <c r="D75" s="3">
        <v>0</v>
      </c>
      <c r="E75" s="3">
        <v>29175</v>
      </c>
    </row>
    <row r="76" spans="1:5" x14ac:dyDescent="0.2">
      <c r="A76" s="2">
        <f t="shared" ca="1" si="1"/>
        <v>46132</v>
      </c>
      <c r="B76" t="s">
        <v>25</v>
      </c>
      <c r="C76" t="s">
        <v>191</v>
      </c>
      <c r="D76" s="3">
        <v>0</v>
      </c>
      <c r="E76" s="3">
        <v>310</v>
      </c>
    </row>
    <row r="77" spans="1:5" x14ac:dyDescent="0.2">
      <c r="A77" s="2">
        <f t="shared" ref="A77:A140" ca="1" si="2">TODAY()</f>
        <v>46132</v>
      </c>
      <c r="B77" t="s">
        <v>25</v>
      </c>
      <c r="D77" s="3">
        <v>0</v>
      </c>
      <c r="E77" s="3">
        <v>0</v>
      </c>
    </row>
    <row r="78" spans="1:5" x14ac:dyDescent="0.2">
      <c r="A78" s="2">
        <f t="shared" ca="1" si="2"/>
        <v>46132</v>
      </c>
      <c r="B78" t="s">
        <v>25</v>
      </c>
      <c r="D78" s="3">
        <v>0</v>
      </c>
      <c r="E78" s="3">
        <v>0</v>
      </c>
    </row>
    <row r="79" spans="1:5" x14ac:dyDescent="0.2">
      <c r="A79" s="2">
        <f t="shared" ca="1" si="2"/>
        <v>46132</v>
      </c>
      <c r="B79" t="s">
        <v>25</v>
      </c>
      <c r="D79" s="3">
        <v>0</v>
      </c>
      <c r="E79" s="3">
        <v>0</v>
      </c>
    </row>
    <row r="80" spans="1:5" x14ac:dyDescent="0.2">
      <c r="A80" s="2">
        <f t="shared" ca="1" si="2"/>
        <v>46132</v>
      </c>
      <c r="B80" t="s">
        <v>25</v>
      </c>
      <c r="D80" s="3">
        <v>0</v>
      </c>
      <c r="E80" s="3">
        <v>0</v>
      </c>
    </row>
    <row r="81" spans="1:5" x14ac:dyDescent="0.2">
      <c r="A81" s="2">
        <f t="shared" ca="1" si="2"/>
        <v>46132</v>
      </c>
      <c r="B81" t="s">
        <v>9</v>
      </c>
      <c r="D81" s="3">
        <v>0</v>
      </c>
      <c r="E81" s="3">
        <v>0</v>
      </c>
    </row>
    <row r="82" spans="1:5" x14ac:dyDescent="0.2">
      <c r="A82" s="2">
        <f t="shared" ca="1" si="2"/>
        <v>46132</v>
      </c>
      <c r="B82" t="s">
        <v>9</v>
      </c>
      <c r="D82" s="3">
        <v>0</v>
      </c>
      <c r="E82" s="3">
        <v>0</v>
      </c>
    </row>
    <row r="83" spans="1:5" x14ac:dyDescent="0.2">
      <c r="A83" s="2">
        <f t="shared" ca="1" si="2"/>
        <v>46132</v>
      </c>
      <c r="B83" t="s">
        <v>9</v>
      </c>
      <c r="D83" s="3">
        <v>0</v>
      </c>
      <c r="E83" s="3">
        <v>0</v>
      </c>
    </row>
    <row r="84" spans="1:5" x14ac:dyDescent="0.2">
      <c r="A84" s="2">
        <f t="shared" ca="1" si="2"/>
        <v>46132</v>
      </c>
      <c r="B84" t="s">
        <v>42</v>
      </c>
      <c r="C84" t="s">
        <v>90</v>
      </c>
      <c r="D84" s="3">
        <v>0</v>
      </c>
      <c r="E84" s="3">
        <v>0</v>
      </c>
    </row>
    <row r="85" spans="1:5" x14ac:dyDescent="0.2">
      <c r="A85" s="2">
        <f t="shared" ca="1" si="2"/>
        <v>46132</v>
      </c>
      <c r="B85" t="s">
        <v>42</v>
      </c>
      <c r="D85" s="3">
        <v>0</v>
      </c>
      <c r="E85" s="3">
        <v>0</v>
      </c>
    </row>
    <row r="86" spans="1:5" x14ac:dyDescent="0.2">
      <c r="A86" s="2">
        <f t="shared" ca="1" si="2"/>
        <v>46132</v>
      </c>
      <c r="B86" t="s">
        <v>43</v>
      </c>
      <c r="C86" t="s">
        <v>192</v>
      </c>
      <c r="D86" s="3">
        <v>370000</v>
      </c>
      <c r="E86" s="3">
        <v>0</v>
      </c>
    </row>
    <row r="87" spans="1:5" x14ac:dyDescent="0.2">
      <c r="A87" s="2">
        <f t="shared" ca="1" si="2"/>
        <v>46132</v>
      </c>
      <c r="B87" t="s">
        <v>43</v>
      </c>
      <c r="C87" t="s">
        <v>193</v>
      </c>
      <c r="D87" s="3">
        <v>0</v>
      </c>
      <c r="E87" s="3">
        <v>0</v>
      </c>
    </row>
    <row r="88" spans="1:5" x14ac:dyDescent="0.2">
      <c r="A88" s="2">
        <f t="shared" ca="1" si="2"/>
        <v>46132</v>
      </c>
      <c r="B88" t="s">
        <v>43</v>
      </c>
      <c r="C88" t="s">
        <v>194</v>
      </c>
      <c r="D88" s="3">
        <v>34552.53</v>
      </c>
      <c r="E88" s="3">
        <v>0</v>
      </c>
    </row>
    <row r="89" spans="1:5" x14ac:dyDescent="0.2">
      <c r="A89" s="2">
        <f t="shared" ca="1" si="2"/>
        <v>46132</v>
      </c>
      <c r="B89" t="s">
        <v>43</v>
      </c>
      <c r="C89" t="s">
        <v>195</v>
      </c>
      <c r="D89" s="3">
        <v>353147.41</v>
      </c>
      <c r="E89" s="3">
        <v>0</v>
      </c>
    </row>
    <row r="90" spans="1:5" x14ac:dyDescent="0.2">
      <c r="A90" s="2">
        <f t="shared" ca="1" si="2"/>
        <v>46132</v>
      </c>
      <c r="B90" t="s">
        <v>43</v>
      </c>
      <c r="C90" t="s">
        <v>196</v>
      </c>
      <c r="D90" s="3">
        <v>199860</v>
      </c>
      <c r="E90" s="3">
        <v>0</v>
      </c>
    </row>
    <row r="91" spans="1:5" x14ac:dyDescent="0.2">
      <c r="A91" s="2">
        <f t="shared" ca="1" si="2"/>
        <v>46132</v>
      </c>
      <c r="B91" t="s">
        <v>43</v>
      </c>
      <c r="C91" t="s">
        <v>197</v>
      </c>
      <c r="D91" s="3">
        <v>871065.64</v>
      </c>
      <c r="E91" s="3">
        <v>0</v>
      </c>
    </row>
    <row r="92" spans="1:5" x14ac:dyDescent="0.2">
      <c r="A92" s="2">
        <f t="shared" ca="1" si="2"/>
        <v>46132</v>
      </c>
      <c r="B92" t="s">
        <v>43</v>
      </c>
      <c r="C92" t="s">
        <v>198</v>
      </c>
      <c r="D92" s="3">
        <v>26813.48</v>
      </c>
      <c r="E92" s="3">
        <v>0</v>
      </c>
    </row>
    <row r="93" spans="1:5" x14ac:dyDescent="0.2">
      <c r="A93" s="2">
        <f t="shared" ca="1" si="2"/>
        <v>46132</v>
      </c>
      <c r="B93" t="s">
        <v>43</v>
      </c>
      <c r="C93" t="s">
        <v>199</v>
      </c>
      <c r="D93" s="3">
        <v>108265.33</v>
      </c>
      <c r="E93" s="3">
        <v>0</v>
      </c>
    </row>
    <row r="94" spans="1:5" x14ac:dyDescent="0.2">
      <c r="A94" s="2">
        <f t="shared" ca="1" si="2"/>
        <v>46132</v>
      </c>
      <c r="B94" t="s">
        <v>43</v>
      </c>
      <c r="C94" t="s">
        <v>200</v>
      </c>
      <c r="D94" s="3">
        <v>157831.85</v>
      </c>
      <c r="E94" s="3">
        <v>0</v>
      </c>
    </row>
    <row r="95" spans="1:5" x14ac:dyDescent="0.2">
      <c r="A95" s="2">
        <f t="shared" ca="1" si="2"/>
        <v>46132</v>
      </c>
      <c r="B95" t="s">
        <v>43</v>
      </c>
      <c r="C95" t="s">
        <v>201</v>
      </c>
      <c r="D95" s="3">
        <v>37272.6</v>
      </c>
      <c r="E95" s="3">
        <v>0</v>
      </c>
    </row>
    <row r="96" spans="1:5" x14ac:dyDescent="0.2">
      <c r="A96" s="2">
        <f t="shared" ca="1" si="2"/>
        <v>46132</v>
      </c>
      <c r="B96" t="s">
        <v>43</v>
      </c>
      <c r="C96" t="s">
        <v>202</v>
      </c>
      <c r="D96" s="3">
        <v>32000</v>
      </c>
      <c r="E96" s="3">
        <v>0</v>
      </c>
    </row>
    <row r="97" spans="1:5" x14ac:dyDescent="0.2">
      <c r="A97" s="2">
        <f t="shared" ca="1" si="2"/>
        <v>46132</v>
      </c>
      <c r="B97" t="s">
        <v>43</v>
      </c>
      <c r="C97" t="s">
        <v>203</v>
      </c>
      <c r="D97" s="3">
        <v>189412.36</v>
      </c>
      <c r="E97" s="3">
        <v>0</v>
      </c>
    </row>
    <row r="98" spans="1:5" x14ac:dyDescent="0.2">
      <c r="A98" s="2">
        <f t="shared" ca="1" si="2"/>
        <v>46132</v>
      </c>
      <c r="B98" t="s">
        <v>43</v>
      </c>
      <c r="C98" t="s">
        <v>204</v>
      </c>
      <c r="D98" s="3">
        <v>26175.05</v>
      </c>
      <c r="E98" s="3">
        <v>0</v>
      </c>
    </row>
    <row r="99" spans="1:5" x14ac:dyDescent="0.2">
      <c r="A99" s="2">
        <f t="shared" ca="1" si="2"/>
        <v>46132</v>
      </c>
      <c r="B99" t="s">
        <v>43</v>
      </c>
      <c r="C99" t="s">
        <v>205</v>
      </c>
      <c r="D99" s="3">
        <v>177300</v>
      </c>
      <c r="E99" s="3">
        <v>0</v>
      </c>
    </row>
    <row r="100" spans="1:5" x14ac:dyDescent="0.2">
      <c r="A100" s="2">
        <f t="shared" ca="1" si="2"/>
        <v>46132</v>
      </c>
      <c r="B100" t="s">
        <v>43</v>
      </c>
      <c r="C100" t="s">
        <v>206</v>
      </c>
      <c r="D100" s="3">
        <v>2391680</v>
      </c>
      <c r="E100" s="3">
        <v>0</v>
      </c>
    </row>
    <row r="101" spans="1:5" x14ac:dyDescent="0.2">
      <c r="A101" s="2">
        <f t="shared" ca="1" si="2"/>
        <v>46132</v>
      </c>
      <c r="B101" t="s">
        <v>43</v>
      </c>
      <c r="C101" t="s">
        <v>207</v>
      </c>
      <c r="D101" s="3">
        <v>176320</v>
      </c>
      <c r="E101" s="3">
        <v>0</v>
      </c>
    </row>
    <row r="102" spans="1:5" x14ac:dyDescent="0.2">
      <c r="A102" s="2">
        <f t="shared" ca="1" si="2"/>
        <v>46132</v>
      </c>
      <c r="B102" t="s">
        <v>43</v>
      </c>
      <c r="C102" t="s">
        <v>208</v>
      </c>
      <c r="D102" s="3">
        <v>342800</v>
      </c>
      <c r="E102" s="3">
        <v>0</v>
      </c>
    </row>
    <row r="103" spans="1:5" x14ac:dyDescent="0.2">
      <c r="A103" s="2">
        <f t="shared" ca="1" si="2"/>
        <v>46132</v>
      </c>
      <c r="B103" t="s">
        <v>43</v>
      </c>
      <c r="C103" t="s">
        <v>209</v>
      </c>
      <c r="D103" s="3">
        <v>124480.02</v>
      </c>
      <c r="E103" s="3">
        <v>0</v>
      </c>
    </row>
    <row r="104" spans="1:5" x14ac:dyDescent="0.2">
      <c r="A104" s="2">
        <f t="shared" ca="1" si="2"/>
        <v>46132</v>
      </c>
      <c r="B104" t="s">
        <v>43</v>
      </c>
      <c r="C104" t="s">
        <v>210</v>
      </c>
      <c r="D104" s="3">
        <v>31901.0069</v>
      </c>
      <c r="E104" s="3">
        <v>0</v>
      </c>
    </row>
    <row r="105" spans="1:5" x14ac:dyDescent="0.2">
      <c r="A105" s="2">
        <f t="shared" ca="1" si="2"/>
        <v>46132</v>
      </c>
      <c r="B105" t="s">
        <v>43</v>
      </c>
      <c r="C105" t="s">
        <v>211</v>
      </c>
      <c r="D105" s="3">
        <v>8655.01</v>
      </c>
      <c r="E105" s="3">
        <v>0</v>
      </c>
    </row>
    <row r="106" spans="1:5" x14ac:dyDescent="0.2">
      <c r="A106" s="2">
        <f t="shared" ca="1" si="2"/>
        <v>46132</v>
      </c>
      <c r="B106" t="s">
        <v>43</v>
      </c>
      <c r="C106" t="s">
        <v>212</v>
      </c>
      <c r="D106" s="3">
        <v>222893.8</v>
      </c>
      <c r="E106" s="3">
        <v>0</v>
      </c>
    </row>
    <row r="107" spans="1:5" x14ac:dyDescent="0.2">
      <c r="A107" s="2">
        <f t="shared" ca="1" si="2"/>
        <v>46132</v>
      </c>
      <c r="B107" t="s">
        <v>43</v>
      </c>
      <c r="C107" t="s">
        <v>213</v>
      </c>
      <c r="D107" s="3">
        <v>514000</v>
      </c>
      <c r="E107" s="3">
        <v>0</v>
      </c>
    </row>
    <row r="108" spans="1:5" x14ac:dyDescent="0.2">
      <c r="A108" s="2">
        <f t="shared" ca="1" si="2"/>
        <v>46132</v>
      </c>
      <c r="B108" t="s">
        <v>43</v>
      </c>
      <c r="D108" s="3">
        <v>0</v>
      </c>
      <c r="E108" s="3">
        <v>0</v>
      </c>
    </row>
    <row r="109" spans="1:5" x14ac:dyDescent="0.2">
      <c r="A109" s="2">
        <f t="shared" ca="1" si="2"/>
        <v>46132</v>
      </c>
      <c r="B109" t="s">
        <v>43</v>
      </c>
      <c r="D109" s="3">
        <v>0</v>
      </c>
      <c r="E109" s="3">
        <v>0</v>
      </c>
    </row>
    <row r="110" spans="1:5" x14ac:dyDescent="0.2">
      <c r="A110" s="2">
        <f t="shared" ca="1" si="2"/>
        <v>46132</v>
      </c>
      <c r="B110" t="s">
        <v>43</v>
      </c>
      <c r="D110" s="3">
        <v>0</v>
      </c>
      <c r="E110" s="3">
        <v>0</v>
      </c>
    </row>
    <row r="111" spans="1:5" x14ac:dyDescent="0.2">
      <c r="A111" s="2">
        <f t="shared" ca="1" si="2"/>
        <v>46132</v>
      </c>
      <c r="B111" t="s">
        <v>43</v>
      </c>
      <c r="D111" s="3">
        <v>0</v>
      </c>
      <c r="E111" s="3">
        <v>0</v>
      </c>
    </row>
    <row r="112" spans="1:5" x14ac:dyDescent="0.2">
      <c r="A112" s="2">
        <f t="shared" ca="1" si="2"/>
        <v>46132</v>
      </c>
      <c r="B112" t="s">
        <v>43</v>
      </c>
      <c r="D112" s="3">
        <v>0</v>
      </c>
      <c r="E112" s="3">
        <v>0</v>
      </c>
    </row>
    <row r="113" spans="1:5" x14ac:dyDescent="0.2">
      <c r="A113" s="2">
        <f t="shared" ca="1" si="2"/>
        <v>46132</v>
      </c>
      <c r="B113" t="s">
        <v>43</v>
      </c>
      <c r="D113" s="3">
        <v>0</v>
      </c>
      <c r="E113" s="3">
        <v>0</v>
      </c>
    </row>
    <row r="114" spans="1:5" x14ac:dyDescent="0.2">
      <c r="A114" s="2">
        <f t="shared" ca="1" si="2"/>
        <v>46132</v>
      </c>
      <c r="B114" t="s">
        <v>43</v>
      </c>
      <c r="D114" s="3">
        <v>0</v>
      </c>
      <c r="E114" s="3">
        <v>0</v>
      </c>
    </row>
    <row r="115" spans="1:5" x14ac:dyDescent="0.2">
      <c r="A115" s="2">
        <f t="shared" ca="1" si="2"/>
        <v>46132</v>
      </c>
      <c r="B115" t="s">
        <v>43</v>
      </c>
      <c r="D115" s="3">
        <v>0</v>
      </c>
      <c r="E115" s="3">
        <v>0</v>
      </c>
    </row>
    <row r="116" spans="1:5" x14ac:dyDescent="0.2">
      <c r="A116" s="2">
        <f t="shared" ca="1" si="2"/>
        <v>46132</v>
      </c>
      <c r="B116" t="s">
        <v>43</v>
      </c>
      <c r="D116" s="3">
        <v>0</v>
      </c>
      <c r="E116" s="3">
        <v>0</v>
      </c>
    </row>
    <row r="117" spans="1:5" x14ac:dyDescent="0.2">
      <c r="A117" s="2">
        <f t="shared" ca="1" si="2"/>
        <v>46132</v>
      </c>
      <c r="B117" t="s">
        <v>43</v>
      </c>
      <c r="D117" s="3">
        <v>0</v>
      </c>
      <c r="E117" s="3">
        <v>0</v>
      </c>
    </row>
    <row r="118" spans="1:5" x14ac:dyDescent="0.2">
      <c r="A118" s="2">
        <f t="shared" ca="1" si="2"/>
        <v>46132</v>
      </c>
      <c r="B118" t="s">
        <v>43</v>
      </c>
      <c r="D118" s="3">
        <v>0</v>
      </c>
      <c r="E118" s="3">
        <v>0</v>
      </c>
    </row>
    <row r="119" spans="1:5" x14ac:dyDescent="0.2">
      <c r="A119" s="2">
        <f t="shared" ca="1" si="2"/>
        <v>46132</v>
      </c>
      <c r="B119" t="s">
        <v>43</v>
      </c>
      <c r="D119" s="3">
        <v>0</v>
      </c>
      <c r="E119" s="3">
        <v>0</v>
      </c>
    </row>
    <row r="120" spans="1:5" x14ac:dyDescent="0.2">
      <c r="A120" s="2">
        <f t="shared" ca="1" si="2"/>
        <v>46132</v>
      </c>
      <c r="B120" t="s">
        <v>43</v>
      </c>
      <c r="D120" s="3">
        <v>0</v>
      </c>
      <c r="E120" s="3">
        <v>0</v>
      </c>
    </row>
    <row r="121" spans="1:5" x14ac:dyDescent="0.2">
      <c r="A121" s="2">
        <f t="shared" ca="1" si="2"/>
        <v>46132</v>
      </c>
      <c r="B121" t="s">
        <v>43</v>
      </c>
      <c r="D121" s="3">
        <v>0</v>
      </c>
      <c r="E121" s="3">
        <v>0</v>
      </c>
    </row>
    <row r="122" spans="1:5" x14ac:dyDescent="0.2">
      <c r="A122" s="2">
        <f t="shared" ca="1" si="2"/>
        <v>46132</v>
      </c>
      <c r="B122" t="s">
        <v>43</v>
      </c>
      <c r="D122" s="3">
        <v>0</v>
      </c>
      <c r="E122" s="3">
        <v>0</v>
      </c>
    </row>
    <row r="123" spans="1:5" x14ac:dyDescent="0.2">
      <c r="A123" s="2">
        <f t="shared" ca="1" si="2"/>
        <v>46132</v>
      </c>
      <c r="B123" t="s">
        <v>43</v>
      </c>
      <c r="D123" s="3">
        <v>0</v>
      </c>
      <c r="E123" s="3">
        <v>0</v>
      </c>
    </row>
    <row r="124" spans="1:5" x14ac:dyDescent="0.2">
      <c r="A124" s="2">
        <f t="shared" ca="1" si="2"/>
        <v>46132</v>
      </c>
      <c r="B124" t="s">
        <v>43</v>
      </c>
      <c r="D124" s="3">
        <v>0</v>
      </c>
      <c r="E124" s="3">
        <v>0</v>
      </c>
    </row>
    <row r="125" spans="1:5" x14ac:dyDescent="0.2">
      <c r="A125" s="2">
        <f t="shared" ca="1" si="2"/>
        <v>46132</v>
      </c>
      <c r="B125" t="s">
        <v>43</v>
      </c>
      <c r="D125" s="3">
        <v>0</v>
      </c>
      <c r="E125" s="3">
        <v>0</v>
      </c>
    </row>
    <row r="126" spans="1:5" x14ac:dyDescent="0.2">
      <c r="A126" s="2">
        <f t="shared" ca="1" si="2"/>
        <v>46132</v>
      </c>
      <c r="B126" t="s">
        <v>43</v>
      </c>
      <c r="D126" s="3">
        <v>0</v>
      </c>
      <c r="E126" s="3">
        <v>0</v>
      </c>
    </row>
    <row r="127" spans="1:5" x14ac:dyDescent="0.2">
      <c r="A127" s="2">
        <f t="shared" ca="1" si="2"/>
        <v>46132</v>
      </c>
      <c r="B127" t="s">
        <v>43</v>
      </c>
      <c r="D127" s="3">
        <v>0</v>
      </c>
      <c r="E127" s="3">
        <v>0</v>
      </c>
    </row>
    <row r="128" spans="1:5" x14ac:dyDescent="0.2">
      <c r="A128" s="2">
        <f t="shared" ca="1" si="2"/>
        <v>46132</v>
      </c>
      <c r="B128" t="s">
        <v>43</v>
      </c>
      <c r="D128" s="3">
        <v>0</v>
      </c>
      <c r="E128" s="3">
        <v>0</v>
      </c>
    </row>
    <row r="129" spans="1:5" x14ac:dyDescent="0.2">
      <c r="A129" s="2">
        <f t="shared" ca="1" si="2"/>
        <v>46132</v>
      </c>
      <c r="B129" t="s">
        <v>43</v>
      </c>
      <c r="D129" s="3">
        <v>0</v>
      </c>
      <c r="E129" s="3">
        <v>0</v>
      </c>
    </row>
    <row r="130" spans="1:5" x14ac:dyDescent="0.2">
      <c r="A130" s="2">
        <f t="shared" ca="1" si="2"/>
        <v>46132</v>
      </c>
      <c r="B130" t="s">
        <v>43</v>
      </c>
      <c r="D130" s="3">
        <v>0</v>
      </c>
      <c r="E130" s="3">
        <v>0</v>
      </c>
    </row>
    <row r="131" spans="1:5" x14ac:dyDescent="0.2">
      <c r="A131" s="2">
        <f t="shared" ca="1" si="2"/>
        <v>46132</v>
      </c>
      <c r="B131" t="s">
        <v>43</v>
      </c>
      <c r="D131" s="3">
        <v>0</v>
      </c>
      <c r="E131" s="3">
        <v>0</v>
      </c>
    </row>
    <row r="132" spans="1:5" x14ac:dyDescent="0.2">
      <c r="A132" s="2">
        <f t="shared" ca="1" si="2"/>
        <v>46132</v>
      </c>
      <c r="B132" t="s">
        <v>43</v>
      </c>
      <c r="D132" s="3">
        <v>0</v>
      </c>
      <c r="E132" s="3">
        <v>0</v>
      </c>
    </row>
    <row r="133" spans="1:5" x14ac:dyDescent="0.2">
      <c r="A133" s="2">
        <f t="shared" ca="1" si="2"/>
        <v>46132</v>
      </c>
      <c r="B133" t="s">
        <v>43</v>
      </c>
      <c r="D133" s="3">
        <v>0</v>
      </c>
      <c r="E133" s="3">
        <v>0</v>
      </c>
    </row>
    <row r="134" spans="1:5" x14ac:dyDescent="0.2">
      <c r="A134" s="2">
        <f t="shared" ca="1" si="2"/>
        <v>46132</v>
      </c>
      <c r="B134" t="s">
        <v>43</v>
      </c>
      <c r="D134" s="3">
        <v>0</v>
      </c>
      <c r="E134" s="3">
        <v>0</v>
      </c>
    </row>
    <row r="135" spans="1:5" x14ac:dyDescent="0.2">
      <c r="A135" s="2">
        <f t="shared" ca="1" si="2"/>
        <v>46132</v>
      </c>
      <c r="B135" t="s">
        <v>43</v>
      </c>
      <c r="D135" s="3">
        <v>0</v>
      </c>
      <c r="E135" s="3">
        <v>0</v>
      </c>
    </row>
    <row r="136" spans="1:5" x14ac:dyDescent="0.2">
      <c r="A136" s="2">
        <f t="shared" ca="1" si="2"/>
        <v>46132</v>
      </c>
      <c r="B136" t="s">
        <v>43</v>
      </c>
      <c r="D136" s="3">
        <v>0</v>
      </c>
      <c r="E136" s="3">
        <v>0</v>
      </c>
    </row>
    <row r="137" spans="1:5" x14ac:dyDescent="0.2">
      <c r="A137" s="2">
        <f t="shared" ca="1" si="2"/>
        <v>46132</v>
      </c>
      <c r="B137" t="s">
        <v>43</v>
      </c>
      <c r="D137" s="3">
        <v>0</v>
      </c>
      <c r="E137" s="3">
        <v>0</v>
      </c>
    </row>
    <row r="138" spans="1:5" x14ac:dyDescent="0.2">
      <c r="A138" s="2">
        <f t="shared" ca="1" si="2"/>
        <v>46132</v>
      </c>
      <c r="B138" t="s">
        <v>43</v>
      </c>
      <c r="D138" s="3">
        <v>0</v>
      </c>
      <c r="E138" s="3">
        <v>0</v>
      </c>
    </row>
    <row r="139" spans="1:5" x14ac:dyDescent="0.2">
      <c r="A139" s="2">
        <f t="shared" ca="1" si="2"/>
        <v>46132</v>
      </c>
      <c r="B139" t="s">
        <v>43</v>
      </c>
      <c r="D139" s="3">
        <v>0</v>
      </c>
      <c r="E139" s="3">
        <v>0</v>
      </c>
    </row>
    <row r="140" spans="1:5" x14ac:dyDescent="0.2">
      <c r="A140" s="2">
        <f t="shared" ca="1" si="2"/>
        <v>46132</v>
      </c>
      <c r="B140" t="s">
        <v>43</v>
      </c>
      <c r="D140" s="3">
        <v>0</v>
      </c>
      <c r="E140" s="3">
        <v>0</v>
      </c>
    </row>
    <row r="141" spans="1:5" x14ac:dyDescent="0.2">
      <c r="A141" s="2">
        <f t="shared" ref="A141:A204" ca="1" si="3">TODAY()</f>
        <v>46132</v>
      </c>
      <c r="B141" t="s">
        <v>43</v>
      </c>
      <c r="D141" s="3">
        <v>0</v>
      </c>
      <c r="E141" s="3">
        <v>0</v>
      </c>
    </row>
    <row r="142" spans="1:5" x14ac:dyDescent="0.2">
      <c r="A142" s="2">
        <f t="shared" ca="1" si="3"/>
        <v>46132</v>
      </c>
      <c r="B142" t="s">
        <v>43</v>
      </c>
      <c r="D142" s="3">
        <v>0</v>
      </c>
      <c r="E142" s="3">
        <v>0</v>
      </c>
    </row>
    <row r="143" spans="1:5" x14ac:dyDescent="0.2">
      <c r="A143" s="2">
        <f t="shared" ca="1" si="3"/>
        <v>46132</v>
      </c>
      <c r="B143" t="s">
        <v>43</v>
      </c>
      <c r="D143" s="3">
        <v>0</v>
      </c>
      <c r="E143" s="3">
        <v>0</v>
      </c>
    </row>
    <row r="144" spans="1:5" x14ac:dyDescent="0.2">
      <c r="A144" s="2">
        <f t="shared" ca="1" si="3"/>
        <v>46132</v>
      </c>
      <c r="B144" t="s">
        <v>43</v>
      </c>
      <c r="D144" s="3">
        <v>0</v>
      </c>
      <c r="E144" s="3">
        <v>0</v>
      </c>
    </row>
    <row r="145" spans="1:5" x14ac:dyDescent="0.2">
      <c r="A145" s="2">
        <f t="shared" ca="1" si="3"/>
        <v>46132</v>
      </c>
      <c r="B145" t="s">
        <v>24</v>
      </c>
      <c r="C145" t="s">
        <v>91</v>
      </c>
      <c r="D145" s="3">
        <v>0</v>
      </c>
      <c r="E145" s="3">
        <v>4896</v>
      </c>
    </row>
    <row r="146" spans="1:5" x14ac:dyDescent="0.2">
      <c r="A146" s="2">
        <f t="shared" ca="1" si="3"/>
        <v>46132</v>
      </c>
      <c r="B146" t="s">
        <v>24</v>
      </c>
      <c r="C146" t="s">
        <v>92</v>
      </c>
      <c r="D146" s="3">
        <v>0</v>
      </c>
      <c r="E146" s="3">
        <v>0</v>
      </c>
    </row>
    <row r="147" spans="1:5" x14ac:dyDescent="0.2">
      <c r="A147" s="2">
        <f t="shared" ca="1" si="3"/>
        <v>46132</v>
      </c>
      <c r="B147" t="s">
        <v>24</v>
      </c>
      <c r="D147" s="3">
        <v>0</v>
      </c>
      <c r="E147" s="3">
        <v>0</v>
      </c>
    </row>
    <row r="148" spans="1:5" x14ac:dyDescent="0.2">
      <c r="A148" s="2">
        <f t="shared" ca="1" si="3"/>
        <v>46132</v>
      </c>
      <c r="B148" t="s">
        <v>24</v>
      </c>
      <c r="C148" t="s">
        <v>93</v>
      </c>
      <c r="D148" s="3">
        <v>0</v>
      </c>
      <c r="E148" s="3">
        <v>52244.5</v>
      </c>
    </row>
    <row r="149" spans="1:5" x14ac:dyDescent="0.2">
      <c r="A149" s="2">
        <f t="shared" ca="1" si="3"/>
        <v>46132</v>
      </c>
      <c r="B149" t="s">
        <v>24</v>
      </c>
      <c r="C149" t="s">
        <v>94</v>
      </c>
      <c r="D149" s="3">
        <v>0</v>
      </c>
      <c r="E149" s="3">
        <v>2355</v>
      </c>
    </row>
    <row r="150" spans="1:5" x14ac:dyDescent="0.2">
      <c r="A150" s="2">
        <f t="shared" ca="1" si="3"/>
        <v>46132</v>
      </c>
      <c r="B150" t="s">
        <v>24</v>
      </c>
      <c r="D150" s="3">
        <v>0</v>
      </c>
      <c r="E150" s="3">
        <v>0</v>
      </c>
    </row>
    <row r="151" spans="1:5" x14ac:dyDescent="0.2">
      <c r="A151" s="2">
        <f t="shared" ca="1" si="3"/>
        <v>46132</v>
      </c>
      <c r="B151" t="s">
        <v>44</v>
      </c>
      <c r="C151" t="s">
        <v>95</v>
      </c>
      <c r="D151" s="3">
        <v>0</v>
      </c>
      <c r="E151" s="3">
        <v>0</v>
      </c>
    </row>
    <row r="152" spans="1:5" x14ac:dyDescent="0.2">
      <c r="A152" s="2">
        <f t="shared" ca="1" si="3"/>
        <v>46132</v>
      </c>
      <c r="B152" t="s">
        <v>44</v>
      </c>
      <c r="C152" t="s">
        <v>96</v>
      </c>
      <c r="D152" s="3">
        <v>0</v>
      </c>
      <c r="E152" s="3">
        <v>0</v>
      </c>
    </row>
    <row r="153" spans="1:5" x14ac:dyDescent="0.2">
      <c r="A153" s="2">
        <f t="shared" ca="1" si="3"/>
        <v>46132</v>
      </c>
      <c r="B153" t="s">
        <v>44</v>
      </c>
      <c r="C153" t="s">
        <v>97</v>
      </c>
      <c r="D153" s="3">
        <v>317500</v>
      </c>
      <c r="E153" s="3">
        <v>0</v>
      </c>
    </row>
    <row r="154" spans="1:5" x14ac:dyDescent="0.2">
      <c r="A154" s="2">
        <f t="shared" ca="1" si="3"/>
        <v>46132</v>
      </c>
      <c r="B154" t="s">
        <v>44</v>
      </c>
      <c r="C154" t="s">
        <v>98</v>
      </c>
      <c r="D154" s="3">
        <v>0</v>
      </c>
      <c r="E154" s="3">
        <v>0</v>
      </c>
    </row>
    <row r="155" spans="1:5" x14ac:dyDescent="0.2">
      <c r="A155" s="2">
        <f t="shared" ca="1" si="3"/>
        <v>46132</v>
      </c>
      <c r="B155" t="s">
        <v>44</v>
      </c>
      <c r="C155" t="s">
        <v>99</v>
      </c>
      <c r="D155" s="3">
        <v>0</v>
      </c>
      <c r="E155" s="3">
        <v>0</v>
      </c>
    </row>
    <row r="156" spans="1:5" x14ac:dyDescent="0.2">
      <c r="A156" s="2">
        <f t="shared" ca="1" si="3"/>
        <v>46132</v>
      </c>
      <c r="B156" t="s">
        <v>44</v>
      </c>
      <c r="C156" t="s">
        <v>100</v>
      </c>
      <c r="D156" s="3">
        <v>0</v>
      </c>
      <c r="E156" s="3">
        <v>0</v>
      </c>
    </row>
    <row r="157" spans="1:5" x14ac:dyDescent="0.2">
      <c r="A157" s="2">
        <f t="shared" ca="1" si="3"/>
        <v>46132</v>
      </c>
      <c r="B157" t="s">
        <v>44</v>
      </c>
      <c r="C157" t="s">
        <v>101</v>
      </c>
      <c r="D157" s="3">
        <v>0</v>
      </c>
      <c r="E157" s="3">
        <v>0</v>
      </c>
    </row>
    <row r="158" spans="1:5" x14ac:dyDescent="0.2">
      <c r="A158" s="2">
        <f t="shared" ca="1" si="3"/>
        <v>46132</v>
      </c>
      <c r="B158" t="s">
        <v>44</v>
      </c>
      <c r="C158" t="s">
        <v>102</v>
      </c>
      <c r="D158" s="3">
        <v>580000</v>
      </c>
      <c r="E158" s="3">
        <v>0</v>
      </c>
    </row>
    <row r="159" spans="1:5" x14ac:dyDescent="0.2">
      <c r="A159" s="2">
        <f t="shared" ca="1" si="3"/>
        <v>46132</v>
      </c>
      <c r="B159" t="s">
        <v>44</v>
      </c>
      <c r="C159" t="s">
        <v>103</v>
      </c>
      <c r="D159" s="3">
        <v>0</v>
      </c>
      <c r="E159" s="3">
        <v>0</v>
      </c>
    </row>
    <row r="160" spans="1:5" x14ac:dyDescent="0.2">
      <c r="A160" s="2">
        <f t="shared" ca="1" si="3"/>
        <v>46132</v>
      </c>
      <c r="B160" t="s">
        <v>44</v>
      </c>
      <c r="C160" t="s">
        <v>104</v>
      </c>
      <c r="D160" s="3">
        <v>0</v>
      </c>
      <c r="E160" s="3">
        <v>0</v>
      </c>
    </row>
    <row r="161" spans="1:5" x14ac:dyDescent="0.2">
      <c r="A161" s="2">
        <f t="shared" ca="1" si="3"/>
        <v>46132</v>
      </c>
      <c r="B161" t="s">
        <v>44</v>
      </c>
      <c r="C161" t="s">
        <v>98</v>
      </c>
      <c r="D161" s="3">
        <v>0</v>
      </c>
      <c r="E161" s="3">
        <v>0</v>
      </c>
    </row>
    <row r="162" spans="1:5" x14ac:dyDescent="0.2">
      <c r="A162" s="2">
        <f t="shared" ca="1" si="3"/>
        <v>46132</v>
      </c>
      <c r="B162" t="s">
        <v>44</v>
      </c>
      <c r="C162" t="s">
        <v>105</v>
      </c>
      <c r="D162" s="3">
        <v>0</v>
      </c>
      <c r="E162" s="3">
        <v>0</v>
      </c>
    </row>
    <row r="163" spans="1:5" x14ac:dyDescent="0.2">
      <c r="A163" s="2">
        <f t="shared" ca="1" si="3"/>
        <v>46132</v>
      </c>
      <c r="B163" t="s">
        <v>45</v>
      </c>
      <c r="C163" t="s">
        <v>106</v>
      </c>
      <c r="D163" s="3">
        <v>0</v>
      </c>
      <c r="E163" s="3">
        <v>375</v>
      </c>
    </row>
    <row r="164" spans="1:5" x14ac:dyDescent="0.2">
      <c r="A164" s="2">
        <f t="shared" ca="1" si="3"/>
        <v>46132</v>
      </c>
      <c r="B164" t="s">
        <v>45</v>
      </c>
      <c r="C164" t="s">
        <v>107</v>
      </c>
      <c r="D164" s="3">
        <v>0</v>
      </c>
      <c r="E164" s="3">
        <v>200</v>
      </c>
    </row>
    <row r="165" spans="1:5" x14ac:dyDescent="0.2">
      <c r="A165" s="2">
        <f t="shared" ca="1" si="3"/>
        <v>46132</v>
      </c>
      <c r="B165" t="s">
        <v>45</v>
      </c>
      <c r="C165" t="s">
        <v>108</v>
      </c>
      <c r="D165" s="3">
        <v>0</v>
      </c>
      <c r="E165" s="3">
        <v>0</v>
      </c>
    </row>
    <row r="166" spans="1:5" x14ac:dyDescent="0.2">
      <c r="A166" s="2">
        <f t="shared" ca="1" si="3"/>
        <v>46132</v>
      </c>
      <c r="B166" t="s">
        <v>45</v>
      </c>
      <c r="C166" t="s">
        <v>109</v>
      </c>
      <c r="D166" s="3">
        <v>0</v>
      </c>
      <c r="E166" s="3">
        <v>1412.5</v>
      </c>
    </row>
    <row r="167" spans="1:5" x14ac:dyDescent="0.2">
      <c r="A167" s="2">
        <f t="shared" ca="1" si="3"/>
        <v>46132</v>
      </c>
      <c r="B167" t="s">
        <v>45</v>
      </c>
      <c r="C167" t="s">
        <v>110</v>
      </c>
      <c r="D167" s="3">
        <v>0</v>
      </c>
      <c r="E167" s="3">
        <v>0</v>
      </c>
    </row>
    <row r="168" spans="1:5" x14ac:dyDescent="0.2">
      <c r="A168" s="2">
        <f t="shared" ca="1" si="3"/>
        <v>46132</v>
      </c>
      <c r="B168" t="s">
        <v>45</v>
      </c>
      <c r="C168" t="s">
        <v>111</v>
      </c>
      <c r="D168" s="3">
        <v>0</v>
      </c>
      <c r="E168" s="3">
        <v>0</v>
      </c>
    </row>
    <row r="169" spans="1:5" x14ac:dyDescent="0.2">
      <c r="A169" s="2">
        <f t="shared" ca="1" si="3"/>
        <v>46132</v>
      </c>
      <c r="B169" t="s">
        <v>45</v>
      </c>
      <c r="C169" t="s">
        <v>112</v>
      </c>
      <c r="D169" s="3">
        <v>0</v>
      </c>
      <c r="E169" s="3">
        <v>288</v>
      </c>
    </row>
    <row r="170" spans="1:5" x14ac:dyDescent="0.2">
      <c r="A170" s="2">
        <f t="shared" ca="1" si="3"/>
        <v>46132</v>
      </c>
      <c r="B170" t="s">
        <v>45</v>
      </c>
      <c r="C170" t="s">
        <v>113</v>
      </c>
      <c r="D170" s="3">
        <v>0</v>
      </c>
      <c r="E170" s="3">
        <v>0</v>
      </c>
    </row>
    <row r="171" spans="1:5" x14ac:dyDescent="0.2">
      <c r="A171" s="2">
        <f t="shared" ca="1" si="3"/>
        <v>46132</v>
      </c>
      <c r="B171" t="s">
        <v>45</v>
      </c>
      <c r="C171" t="s">
        <v>114</v>
      </c>
      <c r="D171" s="3">
        <v>0</v>
      </c>
      <c r="E171" s="3">
        <v>0</v>
      </c>
    </row>
    <row r="172" spans="1:5" x14ac:dyDescent="0.2">
      <c r="A172" s="2">
        <f t="shared" ca="1" si="3"/>
        <v>46132</v>
      </c>
      <c r="B172" t="s">
        <v>45</v>
      </c>
      <c r="C172" t="s">
        <v>115</v>
      </c>
      <c r="D172" s="3">
        <v>0</v>
      </c>
      <c r="E172" s="3">
        <v>0</v>
      </c>
    </row>
    <row r="173" spans="1:5" x14ac:dyDescent="0.2">
      <c r="A173" s="2">
        <f t="shared" ca="1" si="3"/>
        <v>46132</v>
      </c>
      <c r="B173" t="s">
        <v>45</v>
      </c>
      <c r="C173" t="s">
        <v>116</v>
      </c>
      <c r="D173" s="3">
        <v>0</v>
      </c>
      <c r="E173" s="3">
        <v>0</v>
      </c>
    </row>
    <row r="174" spans="1:5" x14ac:dyDescent="0.2">
      <c r="A174" s="2">
        <f t="shared" ca="1" si="3"/>
        <v>46132</v>
      </c>
      <c r="B174" t="s">
        <v>45</v>
      </c>
      <c r="C174" t="s">
        <v>117</v>
      </c>
      <c r="D174" s="3">
        <v>0</v>
      </c>
      <c r="E174" s="3">
        <v>300</v>
      </c>
    </row>
    <row r="175" spans="1:5" x14ac:dyDescent="0.2">
      <c r="A175" s="2">
        <f t="shared" ca="1" si="3"/>
        <v>46132</v>
      </c>
      <c r="B175" t="s">
        <v>45</v>
      </c>
      <c r="C175" t="s">
        <v>118</v>
      </c>
      <c r="D175" s="3">
        <v>0</v>
      </c>
      <c r="E175" s="3">
        <v>965</v>
      </c>
    </row>
    <row r="176" spans="1:5" x14ac:dyDescent="0.2">
      <c r="A176" s="2">
        <f t="shared" ca="1" si="3"/>
        <v>46132</v>
      </c>
      <c r="B176" t="s">
        <v>28</v>
      </c>
      <c r="C176" t="s">
        <v>119</v>
      </c>
      <c r="D176" s="3">
        <v>0</v>
      </c>
      <c r="E176" s="3">
        <v>0</v>
      </c>
    </row>
    <row r="177" spans="1:5" x14ac:dyDescent="0.2">
      <c r="A177" s="2">
        <f t="shared" ca="1" si="3"/>
        <v>46132</v>
      </c>
      <c r="B177" t="s">
        <v>28</v>
      </c>
      <c r="C177" t="s">
        <v>120</v>
      </c>
      <c r="D177" s="3">
        <v>0</v>
      </c>
      <c r="E177" s="3">
        <v>0</v>
      </c>
    </row>
    <row r="178" spans="1:5" x14ac:dyDescent="0.2">
      <c r="A178" s="2">
        <f t="shared" ca="1" si="3"/>
        <v>46132</v>
      </c>
      <c r="B178" t="s">
        <v>28</v>
      </c>
      <c r="C178" t="s">
        <v>121</v>
      </c>
      <c r="D178" s="3">
        <v>604324.46</v>
      </c>
      <c r="E178" s="3">
        <v>0</v>
      </c>
    </row>
    <row r="179" spans="1:5" x14ac:dyDescent="0.2">
      <c r="A179" s="2">
        <f t="shared" ca="1" si="3"/>
        <v>46132</v>
      </c>
      <c r="B179" t="s">
        <v>28</v>
      </c>
      <c r="C179" t="s">
        <v>122</v>
      </c>
      <c r="D179" s="3">
        <v>983248.1</v>
      </c>
      <c r="E179" s="3">
        <v>0</v>
      </c>
    </row>
    <row r="180" spans="1:5" x14ac:dyDescent="0.2">
      <c r="A180" s="2">
        <f t="shared" ca="1" si="3"/>
        <v>46132</v>
      </c>
      <c r="B180" t="s">
        <v>28</v>
      </c>
      <c r="C180" t="s">
        <v>123</v>
      </c>
      <c r="D180" s="3">
        <v>0</v>
      </c>
      <c r="E180" s="3">
        <v>0</v>
      </c>
    </row>
    <row r="181" spans="1:5" x14ac:dyDescent="0.2">
      <c r="A181" s="2">
        <f t="shared" ca="1" si="3"/>
        <v>46132</v>
      </c>
      <c r="B181" t="s">
        <v>28</v>
      </c>
      <c r="C181" t="s">
        <v>124</v>
      </c>
      <c r="D181" s="3">
        <v>0</v>
      </c>
      <c r="E181" s="3">
        <v>0</v>
      </c>
    </row>
    <row r="182" spans="1:5" x14ac:dyDescent="0.2">
      <c r="A182" s="2">
        <f t="shared" ca="1" si="3"/>
        <v>46132</v>
      </c>
      <c r="B182" t="s">
        <v>28</v>
      </c>
      <c r="C182" t="s">
        <v>125</v>
      </c>
      <c r="D182" s="3">
        <v>0</v>
      </c>
      <c r="E182" s="3">
        <v>0</v>
      </c>
    </row>
    <row r="183" spans="1:5" x14ac:dyDescent="0.2">
      <c r="A183" s="2">
        <f t="shared" ca="1" si="3"/>
        <v>46132</v>
      </c>
      <c r="B183" t="s">
        <v>28</v>
      </c>
      <c r="C183" t="s">
        <v>126</v>
      </c>
      <c r="D183" s="3">
        <v>717071.83</v>
      </c>
      <c r="E183" s="3">
        <v>0</v>
      </c>
    </row>
    <row r="184" spans="1:5" x14ac:dyDescent="0.2">
      <c r="A184" s="2">
        <f t="shared" ca="1" si="3"/>
        <v>46132</v>
      </c>
      <c r="B184" t="s">
        <v>28</v>
      </c>
      <c r="C184" t="s">
        <v>127</v>
      </c>
      <c r="D184" s="3">
        <v>0</v>
      </c>
      <c r="E184" s="3">
        <v>0</v>
      </c>
    </row>
    <row r="185" spans="1:5" x14ac:dyDescent="0.2">
      <c r="A185" s="2">
        <f t="shared" ca="1" si="3"/>
        <v>46132</v>
      </c>
      <c r="B185" t="s">
        <v>28</v>
      </c>
      <c r="C185" t="s">
        <v>128</v>
      </c>
      <c r="D185" s="3">
        <v>0</v>
      </c>
      <c r="E185" s="3">
        <v>0</v>
      </c>
    </row>
    <row r="186" spans="1:5" x14ac:dyDescent="0.2">
      <c r="A186" s="2">
        <f t="shared" ca="1" si="3"/>
        <v>46132</v>
      </c>
      <c r="B186" t="s">
        <v>28</v>
      </c>
      <c r="C186" t="s">
        <v>129</v>
      </c>
      <c r="D186" s="3">
        <v>0</v>
      </c>
      <c r="E186" s="3">
        <v>0</v>
      </c>
    </row>
    <row r="187" spans="1:5" x14ac:dyDescent="0.2">
      <c r="A187" s="2">
        <f t="shared" ca="1" si="3"/>
        <v>46132</v>
      </c>
      <c r="B187" t="s">
        <v>28</v>
      </c>
      <c r="C187" t="s">
        <v>130</v>
      </c>
      <c r="D187" s="3">
        <v>0</v>
      </c>
      <c r="E187" s="3">
        <v>0</v>
      </c>
    </row>
    <row r="188" spans="1:5" x14ac:dyDescent="0.2">
      <c r="A188" s="2">
        <f t="shared" ca="1" si="3"/>
        <v>46132</v>
      </c>
      <c r="B188" t="s">
        <v>28</v>
      </c>
      <c r="C188" t="s">
        <v>131</v>
      </c>
      <c r="D188" s="3">
        <v>0</v>
      </c>
      <c r="E188" s="3">
        <v>0</v>
      </c>
    </row>
    <row r="189" spans="1:5" x14ac:dyDescent="0.2">
      <c r="A189" s="2">
        <f t="shared" ca="1" si="3"/>
        <v>46132</v>
      </c>
      <c r="B189" t="s">
        <v>28</v>
      </c>
      <c r="C189" t="s">
        <v>132</v>
      </c>
      <c r="D189" s="3">
        <v>0</v>
      </c>
      <c r="E189" s="3">
        <v>0</v>
      </c>
    </row>
    <row r="190" spans="1:5" x14ac:dyDescent="0.2">
      <c r="A190" s="2">
        <f t="shared" ca="1" si="3"/>
        <v>46132</v>
      </c>
      <c r="B190" t="s">
        <v>27</v>
      </c>
      <c r="C190" t="s">
        <v>133</v>
      </c>
      <c r="D190" s="3">
        <v>0</v>
      </c>
      <c r="E190" s="3">
        <v>0</v>
      </c>
    </row>
    <row r="191" spans="1:5" x14ac:dyDescent="0.2">
      <c r="A191" s="2">
        <f t="shared" ca="1" si="3"/>
        <v>46132</v>
      </c>
      <c r="B191" t="s">
        <v>27</v>
      </c>
      <c r="C191" t="s">
        <v>134</v>
      </c>
      <c r="D191" s="3">
        <v>0</v>
      </c>
      <c r="E191" s="3">
        <v>1500</v>
      </c>
    </row>
    <row r="192" spans="1:5" x14ac:dyDescent="0.2">
      <c r="A192" s="2">
        <f t="shared" ca="1" si="3"/>
        <v>46132</v>
      </c>
      <c r="B192" t="s">
        <v>27</v>
      </c>
      <c r="C192" t="s">
        <v>135</v>
      </c>
      <c r="D192" s="3">
        <v>0</v>
      </c>
      <c r="E192" s="3">
        <v>13616</v>
      </c>
    </row>
    <row r="193" spans="1:5" x14ac:dyDescent="0.2">
      <c r="A193" s="2">
        <f t="shared" ca="1" si="3"/>
        <v>46132</v>
      </c>
      <c r="B193" t="s">
        <v>27</v>
      </c>
      <c r="C193" t="s">
        <v>136</v>
      </c>
      <c r="D193" s="3">
        <v>0</v>
      </c>
      <c r="E193" s="3">
        <v>4708.7</v>
      </c>
    </row>
    <row r="194" spans="1:5" x14ac:dyDescent="0.2">
      <c r="A194" s="2">
        <f t="shared" ca="1" si="3"/>
        <v>46132</v>
      </c>
      <c r="B194" t="s">
        <v>27</v>
      </c>
      <c r="C194" t="s">
        <v>137</v>
      </c>
      <c r="D194" s="3">
        <v>0</v>
      </c>
      <c r="E194" s="3">
        <v>8336.77</v>
      </c>
    </row>
    <row r="195" spans="1:5" x14ac:dyDescent="0.2">
      <c r="A195" s="2">
        <f t="shared" ca="1" si="3"/>
        <v>46132</v>
      </c>
      <c r="B195" t="s">
        <v>27</v>
      </c>
      <c r="C195" t="s">
        <v>138</v>
      </c>
      <c r="D195" s="3">
        <v>0</v>
      </c>
      <c r="E195" s="3">
        <v>587.20000000000005</v>
      </c>
    </row>
    <row r="196" spans="1:5" x14ac:dyDescent="0.2">
      <c r="A196" s="2">
        <f t="shared" ca="1" si="3"/>
        <v>46132</v>
      </c>
      <c r="B196" t="s">
        <v>27</v>
      </c>
      <c r="C196" t="s">
        <v>139</v>
      </c>
      <c r="D196" s="3">
        <v>0</v>
      </c>
      <c r="E196" s="3">
        <v>16602.330000000002</v>
      </c>
    </row>
    <row r="197" spans="1:5" x14ac:dyDescent="0.2">
      <c r="A197" s="2">
        <f t="shared" ca="1" si="3"/>
        <v>46132</v>
      </c>
      <c r="B197" t="s">
        <v>27</v>
      </c>
      <c r="C197" t="s">
        <v>140</v>
      </c>
      <c r="D197" s="3">
        <v>0</v>
      </c>
      <c r="E197" s="3">
        <v>6542.73</v>
      </c>
    </row>
    <row r="198" spans="1:5" x14ac:dyDescent="0.2">
      <c r="A198" s="2">
        <f t="shared" ca="1" si="3"/>
        <v>46132</v>
      </c>
      <c r="B198" t="s">
        <v>27</v>
      </c>
      <c r="C198" t="s">
        <v>141</v>
      </c>
      <c r="D198" s="3">
        <v>0</v>
      </c>
      <c r="E198" s="3">
        <v>0</v>
      </c>
    </row>
    <row r="199" spans="1:5" x14ac:dyDescent="0.2">
      <c r="A199" s="2">
        <f t="shared" ca="1" si="3"/>
        <v>46132</v>
      </c>
      <c r="B199" t="s">
        <v>27</v>
      </c>
      <c r="C199" t="s">
        <v>142</v>
      </c>
      <c r="D199" s="3">
        <v>0</v>
      </c>
      <c r="E199" s="3">
        <v>4450.8</v>
      </c>
    </row>
    <row r="200" spans="1:5" x14ac:dyDescent="0.2">
      <c r="A200" s="2">
        <f t="shared" ca="1" si="3"/>
        <v>46132</v>
      </c>
      <c r="B200" t="s">
        <v>27</v>
      </c>
      <c r="C200" t="s">
        <v>143</v>
      </c>
      <c r="D200" s="3">
        <v>0</v>
      </c>
      <c r="E200" s="3">
        <v>1880</v>
      </c>
    </row>
    <row r="201" spans="1:5" x14ac:dyDescent="0.2">
      <c r="A201" s="2">
        <f t="shared" ca="1" si="3"/>
        <v>46132</v>
      </c>
      <c r="B201" t="s">
        <v>27</v>
      </c>
      <c r="C201" t="s">
        <v>144</v>
      </c>
      <c r="D201" s="3">
        <v>0</v>
      </c>
      <c r="E201" s="3">
        <v>0</v>
      </c>
    </row>
    <row r="202" spans="1:5" x14ac:dyDescent="0.2">
      <c r="A202" s="2">
        <f t="shared" ca="1" si="3"/>
        <v>46132</v>
      </c>
      <c r="B202" t="s">
        <v>27</v>
      </c>
      <c r="C202" t="s">
        <v>145</v>
      </c>
      <c r="D202" s="3">
        <v>0</v>
      </c>
      <c r="E202" s="3">
        <v>17148.72</v>
      </c>
    </row>
    <row r="203" spans="1:5" x14ac:dyDescent="0.2">
      <c r="A203" s="2">
        <f t="shared" ca="1" si="3"/>
        <v>46132</v>
      </c>
      <c r="B203" t="s">
        <v>46</v>
      </c>
      <c r="D203" s="3">
        <v>0</v>
      </c>
      <c r="E203" s="3">
        <v>0</v>
      </c>
    </row>
    <row r="204" spans="1:5" x14ac:dyDescent="0.2">
      <c r="A204" s="2">
        <f t="shared" ca="1" si="3"/>
        <v>46132</v>
      </c>
      <c r="B204" t="s">
        <v>46</v>
      </c>
      <c r="D204" s="3">
        <v>0</v>
      </c>
      <c r="E204" s="3">
        <v>0</v>
      </c>
    </row>
    <row r="205" spans="1:5" x14ac:dyDescent="0.2">
      <c r="A205" s="2">
        <f t="shared" ref="A205:A230" ca="1" si="4">TODAY()</f>
        <v>46132</v>
      </c>
      <c r="B205" t="s">
        <v>47</v>
      </c>
      <c r="C205" t="s">
        <v>65</v>
      </c>
      <c r="D205" s="3">
        <v>0</v>
      </c>
      <c r="E205" s="3">
        <v>0</v>
      </c>
    </row>
    <row r="206" spans="1:5" x14ac:dyDescent="0.2">
      <c r="A206" s="2">
        <f t="shared" ca="1" si="4"/>
        <v>46132</v>
      </c>
      <c r="B206" t="s">
        <v>48</v>
      </c>
      <c r="C206" t="s">
        <v>146</v>
      </c>
      <c r="D206" s="3">
        <v>0</v>
      </c>
      <c r="E206" s="3">
        <v>0</v>
      </c>
    </row>
    <row r="207" spans="1:5" x14ac:dyDescent="0.2">
      <c r="A207" s="2">
        <f t="shared" ca="1" si="4"/>
        <v>46132</v>
      </c>
      <c r="B207" t="s">
        <v>48</v>
      </c>
      <c r="C207" t="s">
        <v>147</v>
      </c>
      <c r="D207" s="3">
        <v>0</v>
      </c>
      <c r="E207" s="3">
        <v>3469.62</v>
      </c>
    </row>
    <row r="208" spans="1:5" x14ac:dyDescent="0.2">
      <c r="A208" s="2">
        <f t="shared" ca="1" si="4"/>
        <v>46132</v>
      </c>
      <c r="B208" t="s">
        <v>48</v>
      </c>
      <c r="C208" t="s">
        <v>148</v>
      </c>
      <c r="D208" s="3">
        <v>0</v>
      </c>
      <c r="E208" s="3">
        <v>0</v>
      </c>
    </row>
    <row r="209" spans="1:5" x14ac:dyDescent="0.2">
      <c r="A209" s="2">
        <f t="shared" ca="1" si="4"/>
        <v>46132</v>
      </c>
      <c r="B209" t="s">
        <v>48</v>
      </c>
      <c r="C209" t="s">
        <v>149</v>
      </c>
      <c r="D209" s="3">
        <v>0</v>
      </c>
      <c r="E209" s="3">
        <v>0</v>
      </c>
    </row>
    <row r="210" spans="1:5" x14ac:dyDescent="0.2">
      <c r="A210" s="2">
        <f t="shared" ca="1" si="4"/>
        <v>46132</v>
      </c>
      <c r="B210" t="s">
        <v>49</v>
      </c>
      <c r="C210" t="s">
        <v>150</v>
      </c>
      <c r="D210" s="3">
        <v>0</v>
      </c>
      <c r="E210" s="3">
        <v>0</v>
      </c>
    </row>
    <row r="211" spans="1:5" x14ac:dyDescent="0.2">
      <c r="A211" s="2">
        <f t="shared" ca="1" si="4"/>
        <v>46132</v>
      </c>
      <c r="B211" t="s">
        <v>49</v>
      </c>
      <c r="C211" t="s">
        <v>151</v>
      </c>
      <c r="D211" s="3">
        <v>0</v>
      </c>
      <c r="E211" s="3">
        <v>0</v>
      </c>
    </row>
    <row r="212" spans="1:5" x14ac:dyDescent="0.2">
      <c r="A212" s="2">
        <f t="shared" ca="1" si="4"/>
        <v>46132</v>
      </c>
      <c r="B212" t="s">
        <v>49</v>
      </c>
      <c r="C212" t="s">
        <v>177</v>
      </c>
      <c r="D212" s="3">
        <v>0</v>
      </c>
      <c r="E212" s="3">
        <v>5420.62</v>
      </c>
    </row>
    <row r="213" spans="1:5" x14ac:dyDescent="0.2">
      <c r="A213" s="2">
        <f t="shared" ca="1" si="4"/>
        <v>46132</v>
      </c>
      <c r="B213" t="s">
        <v>49</v>
      </c>
      <c r="D213" s="3">
        <v>0</v>
      </c>
      <c r="E213" s="3">
        <v>0</v>
      </c>
    </row>
    <row r="214" spans="1:5" x14ac:dyDescent="0.2">
      <c r="A214" s="2">
        <f t="shared" ca="1" si="4"/>
        <v>46132</v>
      </c>
      <c r="B214" t="s">
        <v>50</v>
      </c>
      <c r="D214" s="3">
        <v>0</v>
      </c>
      <c r="E214" s="3">
        <v>0</v>
      </c>
    </row>
    <row r="215" spans="1:5" x14ac:dyDescent="0.2">
      <c r="A215" s="2">
        <f t="shared" ca="1" si="4"/>
        <v>46132</v>
      </c>
      <c r="B215" t="s">
        <v>50</v>
      </c>
      <c r="D215" s="3">
        <v>0</v>
      </c>
      <c r="E215" s="3">
        <v>0</v>
      </c>
    </row>
    <row r="216" spans="1:5" x14ac:dyDescent="0.2">
      <c r="A216" s="2">
        <f t="shared" ca="1" si="4"/>
        <v>46132</v>
      </c>
      <c r="B216" t="s">
        <v>51</v>
      </c>
      <c r="D216" s="3">
        <v>0</v>
      </c>
      <c r="E216" s="3">
        <v>0</v>
      </c>
    </row>
    <row r="217" spans="1:5" x14ac:dyDescent="0.2">
      <c r="A217" s="2">
        <f t="shared" ca="1" si="4"/>
        <v>46132</v>
      </c>
      <c r="B217" t="s">
        <v>51</v>
      </c>
      <c r="C217" t="s">
        <v>152</v>
      </c>
      <c r="D217" s="3">
        <v>0</v>
      </c>
      <c r="E217" s="3">
        <v>0</v>
      </c>
    </row>
    <row r="218" spans="1:5" x14ac:dyDescent="0.2">
      <c r="A218" s="2">
        <f t="shared" ca="1" si="4"/>
        <v>46132</v>
      </c>
      <c r="B218" t="s">
        <v>52</v>
      </c>
      <c r="C218" t="s">
        <v>65</v>
      </c>
      <c r="D218" s="3">
        <v>0</v>
      </c>
      <c r="E218" s="3">
        <v>0</v>
      </c>
    </row>
    <row r="219" spans="1:5" x14ac:dyDescent="0.2">
      <c r="A219" s="2">
        <f t="shared" ca="1" si="4"/>
        <v>46132</v>
      </c>
      <c r="B219" t="s">
        <v>52</v>
      </c>
      <c r="C219" t="s">
        <v>153</v>
      </c>
      <c r="D219" s="3">
        <v>0</v>
      </c>
      <c r="E219" s="3">
        <v>0</v>
      </c>
    </row>
    <row r="220" spans="1:5" x14ac:dyDescent="0.2">
      <c r="A220" s="2">
        <f t="shared" ca="1" si="4"/>
        <v>46132</v>
      </c>
      <c r="B220" t="s">
        <v>52</v>
      </c>
      <c r="C220" t="s">
        <v>154</v>
      </c>
      <c r="D220" s="3">
        <v>0</v>
      </c>
      <c r="E220" s="3">
        <v>0</v>
      </c>
    </row>
    <row r="221" spans="1:5" x14ac:dyDescent="0.2">
      <c r="A221" s="2">
        <f t="shared" ca="1" si="4"/>
        <v>46132</v>
      </c>
      <c r="B221" t="s">
        <v>26</v>
      </c>
      <c r="C221" t="s">
        <v>155</v>
      </c>
      <c r="D221" s="3">
        <v>0</v>
      </c>
      <c r="E221" s="3">
        <v>283</v>
      </c>
    </row>
    <row r="222" spans="1:5" x14ac:dyDescent="0.2">
      <c r="A222" s="2">
        <f t="shared" ca="1" si="4"/>
        <v>46132</v>
      </c>
      <c r="B222" t="s">
        <v>26</v>
      </c>
      <c r="C222" t="s">
        <v>156</v>
      </c>
      <c r="D222" s="3">
        <v>0</v>
      </c>
      <c r="E222" s="3">
        <v>0</v>
      </c>
    </row>
    <row r="223" spans="1:5" x14ac:dyDescent="0.2">
      <c r="A223" s="2">
        <f t="shared" ca="1" si="4"/>
        <v>46132</v>
      </c>
      <c r="B223" t="s">
        <v>26</v>
      </c>
      <c r="D223" s="3">
        <v>0</v>
      </c>
      <c r="E223" s="3">
        <v>0</v>
      </c>
    </row>
    <row r="224" spans="1:5" x14ac:dyDescent="0.2">
      <c r="A224" s="2">
        <f t="shared" ca="1" si="4"/>
        <v>46132</v>
      </c>
      <c r="B224" t="s">
        <v>26</v>
      </c>
      <c r="C224" t="s">
        <v>157</v>
      </c>
      <c r="D224" s="3">
        <v>0</v>
      </c>
      <c r="E224" s="3">
        <v>673.41</v>
      </c>
    </row>
    <row r="225" spans="1:5" x14ac:dyDescent="0.2">
      <c r="A225" s="2">
        <f t="shared" ca="1" si="4"/>
        <v>46132</v>
      </c>
      <c r="B225" t="s">
        <v>26</v>
      </c>
      <c r="C225" t="s">
        <v>158</v>
      </c>
      <c r="D225" s="3">
        <v>0</v>
      </c>
      <c r="E225" s="3">
        <v>0</v>
      </c>
    </row>
    <row r="226" spans="1:5" x14ac:dyDescent="0.2">
      <c r="A226" s="2">
        <f t="shared" ca="1" si="4"/>
        <v>46132</v>
      </c>
      <c r="B226" t="s">
        <v>26</v>
      </c>
      <c r="C226" t="s">
        <v>159</v>
      </c>
      <c r="D226" s="3">
        <v>0</v>
      </c>
      <c r="E226" s="3">
        <v>150</v>
      </c>
    </row>
    <row r="227" spans="1:5" x14ac:dyDescent="0.2">
      <c r="A227" s="2">
        <f t="shared" ca="1" si="4"/>
        <v>46132</v>
      </c>
      <c r="B227" t="s">
        <v>53</v>
      </c>
      <c r="C227" t="s">
        <v>160</v>
      </c>
      <c r="D227" s="3">
        <v>0</v>
      </c>
      <c r="E227" s="3">
        <v>0</v>
      </c>
    </row>
    <row r="228" spans="1:5" x14ac:dyDescent="0.2">
      <c r="A228" s="2">
        <f t="shared" ca="1" si="4"/>
        <v>46132</v>
      </c>
      <c r="B228" t="s">
        <v>53</v>
      </c>
      <c r="C228" t="s">
        <v>161</v>
      </c>
      <c r="D228" s="3">
        <v>0</v>
      </c>
      <c r="E228" s="3">
        <v>0</v>
      </c>
    </row>
    <row r="229" spans="1:5" x14ac:dyDescent="0.2">
      <c r="A229" s="2">
        <f t="shared" ca="1" si="4"/>
        <v>46132</v>
      </c>
      <c r="B229" t="s">
        <v>54</v>
      </c>
      <c r="C229" t="s">
        <v>162</v>
      </c>
      <c r="D229" s="3">
        <v>0</v>
      </c>
      <c r="E229" s="3">
        <v>0</v>
      </c>
    </row>
    <row r="230" spans="1:5" x14ac:dyDescent="0.2">
      <c r="A230" s="2">
        <f t="shared" ca="1" si="4"/>
        <v>46132</v>
      </c>
      <c r="B230" t="s">
        <v>54</v>
      </c>
      <c r="C230" t="s">
        <v>163</v>
      </c>
      <c r="D230" s="3">
        <v>0</v>
      </c>
      <c r="E230" s="3">
        <v>0</v>
      </c>
    </row>
  </sheetData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4F033-3166-4DD3-90C5-BF92621DFBDF}">
  <dimension ref="A1:F1"/>
  <sheetViews>
    <sheetView tabSelected="1" workbookViewId="0">
      <selection activeCell="A2" sqref="A2"/>
    </sheetView>
  </sheetViews>
  <sheetFormatPr baseColWidth="10" defaultRowHeight="12.75" x14ac:dyDescent="0.2"/>
  <sheetData>
    <row r="1" spans="1:6" x14ac:dyDescent="0.2">
      <c r="A1" s="6" t="s">
        <v>214</v>
      </c>
      <c r="B1" s="6" t="s">
        <v>215</v>
      </c>
      <c r="C1" s="6" t="s">
        <v>216</v>
      </c>
      <c r="D1" s="6" t="s">
        <v>0</v>
      </c>
      <c r="E1" s="6" t="s">
        <v>217</v>
      </c>
      <c r="F1" s="6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2489B-E149-4E4A-8099-902CD7EBE730}">
  <dimension ref="A1:F4"/>
  <sheetViews>
    <sheetView workbookViewId="0">
      <selection activeCell="A5" sqref="A5"/>
    </sheetView>
  </sheetViews>
  <sheetFormatPr baseColWidth="10" defaultRowHeight="12.75" x14ac:dyDescent="0.2"/>
  <sheetData>
    <row r="1" spans="1:6" x14ac:dyDescent="0.2">
      <c r="A1" s="6" t="s">
        <v>214</v>
      </c>
      <c r="B1" s="6" t="s">
        <v>215</v>
      </c>
      <c r="C1" s="6" t="s">
        <v>216</v>
      </c>
      <c r="D1" s="6" t="s">
        <v>0</v>
      </c>
      <c r="E1" s="6" t="s">
        <v>217</v>
      </c>
      <c r="F1" s="6" t="s">
        <v>218</v>
      </c>
    </row>
    <row r="2" spans="1:6" x14ac:dyDescent="0.2">
      <c r="A2" t="s">
        <v>219</v>
      </c>
      <c r="B2">
        <v>59000</v>
      </c>
      <c r="C2">
        <v>39000</v>
      </c>
      <c r="D2" s="5">
        <v>46127</v>
      </c>
      <c r="E2">
        <v>1112253</v>
      </c>
      <c r="F2" t="s">
        <v>220</v>
      </c>
    </row>
    <row r="3" spans="1:6" x14ac:dyDescent="0.2">
      <c r="A3" s="4" t="s">
        <v>221</v>
      </c>
      <c r="B3">
        <v>15000</v>
      </c>
      <c r="C3">
        <v>10000</v>
      </c>
      <c r="D3" s="5">
        <v>46126</v>
      </c>
      <c r="E3">
        <v>1112344</v>
      </c>
      <c r="F3" s="4" t="s">
        <v>222</v>
      </c>
    </row>
    <row r="4" spans="1:6" x14ac:dyDescent="0.2">
      <c r="A4" s="4" t="s">
        <v>223</v>
      </c>
      <c r="B4">
        <v>25000</v>
      </c>
      <c r="C4">
        <v>25000</v>
      </c>
      <c r="D4" s="5">
        <v>46127</v>
      </c>
      <c r="E4">
        <v>223465</v>
      </c>
      <c r="F4" s="4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Villas</vt:lpstr>
      <vt:lpstr>Pina</vt:lpstr>
      <vt:lpstr>Villas In</vt:lpstr>
      <vt:lpstr>Pina 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contabilidad zasa</cp:lastModifiedBy>
  <cp:revision/>
  <dcterms:created xsi:type="dcterms:W3CDTF">2026-02-04T17:02:51Z</dcterms:created>
  <dcterms:modified xsi:type="dcterms:W3CDTF">2026-04-20T21:28:02Z</dcterms:modified>
  <cp:category/>
  <cp:contentStatus/>
</cp:coreProperties>
</file>